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filterPrivacy="1" codeName="ThisWorkbook" defaultThemeVersion="124226"/>
  <xr:revisionPtr revIDLastSave="206" documentId="13_ncr:1_{495B71DD-1D8F-4A4A-B342-35C4B7CB3712}" xr6:coauthVersionLast="47" xr6:coauthVersionMax="47" xr10:uidLastSave="{EDAB491E-BE6B-42D9-A785-45D012E1EBCB}"/>
  <bookViews>
    <workbookView xWindow="28680" yWindow="-120" windowWidth="29040" windowHeight="17520" tabRatio="537" xr2:uid="{00000000-000D-0000-FFFF-FFFF00000000}"/>
  </bookViews>
  <sheets>
    <sheet name="EDI" sheetId="1" r:id="rId1"/>
    <sheet name="CA" sheetId="5" r:id="rId2"/>
    <sheet name="Feuil1" sheetId="6" r:id="rId3"/>
  </sheets>
  <definedNames>
    <definedName name="_xlnm._FilterDatabase" localSheetId="1" hidden="1">CA!#REF!</definedName>
    <definedName name="_xlnm.Print_Area" localSheetId="1">CA!#REF!</definedName>
    <definedName name="_xlnm.Print_Area" localSheetId="0">EDI!$A$1:$M$17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5" i="1" l="1"/>
  <c r="E15" i="1" s="1"/>
  <c r="D12" i="1"/>
  <c r="E12" i="1" s="1"/>
  <c r="D11" i="1"/>
  <c r="E11" i="1" s="1"/>
  <c r="D14" i="1"/>
  <c r="E14" i="1" s="1"/>
  <c r="C32" i="5"/>
  <c r="E35" i="5" s="1"/>
  <c r="D10" i="1" l="1"/>
  <c r="E10" i="1" s="1"/>
  <c r="D13" i="1"/>
  <c r="E13" i="1" s="1"/>
  <c r="D16" i="1"/>
  <c r="E16" i="1" s="1"/>
  <c r="E6" i="5"/>
  <c r="F6" i="5" s="1"/>
  <c r="E7" i="5" l="1"/>
  <c r="F7" i="5" s="1"/>
  <c r="D9" i="1"/>
  <c r="C21" i="5" l="1"/>
  <c r="E36" i="5" s="1"/>
  <c r="D10" i="5" l="1"/>
  <c r="E37" i="5" s="1"/>
  <c r="E38" i="5" s="1"/>
  <c r="E8" i="5"/>
  <c r="F8" i="5" s="1"/>
  <c r="E9" i="5"/>
  <c r="F9" i="5" s="1"/>
  <c r="E10" i="5" l="1"/>
  <c r="F10" i="5"/>
  <c r="F17" i="1" l="1"/>
  <c r="M17" i="1" l="1"/>
  <c r="E9" i="1"/>
  <c r="E17" i="1" s="1"/>
  <c r="D17" i="1"/>
  <c r="E39" i="5" l="1"/>
  <c r="E41" i="5" s="1"/>
</calcChain>
</file>

<file path=xl/sharedStrings.xml><?xml version="1.0" encoding="utf-8"?>
<sst xmlns="http://schemas.openxmlformats.org/spreadsheetml/2006/main" count="96" uniqueCount="76">
  <si>
    <t>ID_FISCAL</t>
  </si>
  <si>
    <t>ANNEE</t>
  </si>
  <si>
    <t>M_HT</t>
  </si>
  <si>
    <t>TVA</t>
  </si>
  <si>
    <t>TAUX</t>
  </si>
  <si>
    <t>DATE_PAIE</t>
  </si>
  <si>
    <t>DATE_FAC</t>
  </si>
  <si>
    <t>IF</t>
  </si>
  <si>
    <t>RAISON SOCIAL</t>
  </si>
  <si>
    <t>Total</t>
  </si>
  <si>
    <t>Modèle n° ADC082F-15I</t>
  </si>
  <si>
    <t>Relevé de déduction</t>
  </si>
  <si>
    <t>(Article 112 du Code Général des Impôts)</t>
  </si>
  <si>
    <t>DESIGNATION</t>
  </si>
  <si>
    <t>OR</t>
  </si>
  <si>
    <t>FACT_NUM</t>
  </si>
  <si>
    <t>M_TTC</t>
  </si>
  <si>
    <t>LIB_FRSS</t>
  </si>
  <si>
    <t>ID_PAIE</t>
  </si>
  <si>
    <t>ICE_FRS</t>
  </si>
  <si>
    <t>REGIME(Encais-1)</t>
  </si>
  <si>
    <t>Date fre</t>
  </si>
  <si>
    <t>Numéro fre</t>
  </si>
  <si>
    <t>CLIENTS</t>
  </si>
  <si>
    <t>Mode de règlement</t>
  </si>
  <si>
    <t>Date de règl</t>
  </si>
  <si>
    <t xml:space="preserve">Total </t>
  </si>
  <si>
    <t>PERIODE(TRIMESTRE)</t>
  </si>
  <si>
    <t xml:space="preserve">TTC </t>
  </si>
  <si>
    <t>HT</t>
  </si>
  <si>
    <t xml:space="preserve">CA TTC </t>
  </si>
  <si>
    <t xml:space="preserve">CA HT </t>
  </si>
  <si>
    <t xml:space="preserve">TVA ENCAISSE </t>
  </si>
  <si>
    <t xml:space="preserve">TOTAL DEDUCTIONS </t>
  </si>
  <si>
    <t xml:space="preserve">CREDIT TVA PRECEDENT </t>
  </si>
  <si>
    <t xml:space="preserve">Espèce </t>
  </si>
  <si>
    <t xml:space="preserve">Chèque </t>
  </si>
  <si>
    <t>Prélèvement</t>
  </si>
  <si>
    <t xml:space="preserve">Virement </t>
  </si>
  <si>
    <t>Effet</t>
  </si>
  <si>
    <t>Compensations</t>
  </si>
  <si>
    <t>Autres</t>
  </si>
  <si>
    <t xml:space="preserve">DATE </t>
  </si>
  <si>
    <t xml:space="preserve">MONTANT </t>
  </si>
  <si>
    <t xml:space="preserve">MDE DE REGLT </t>
  </si>
  <si>
    <t xml:space="preserve">NOM CLIENT </t>
  </si>
  <si>
    <t>TOTAL</t>
  </si>
  <si>
    <t>PROMEUBLE</t>
  </si>
  <si>
    <t>MARCHANDISE CONSOMMABLE</t>
  </si>
  <si>
    <t>BEIJE AVENUE</t>
  </si>
  <si>
    <t>CA IMPOSABLE</t>
  </si>
  <si>
    <t>CA EXONERE</t>
  </si>
  <si>
    <t xml:space="preserve">COMMISSION BQ </t>
  </si>
  <si>
    <t>HONORAIRE</t>
  </si>
  <si>
    <t>NEB CONSEILS</t>
  </si>
  <si>
    <t>002915979000072</t>
  </si>
  <si>
    <t>ATTIJARIWAFA BANK</t>
  </si>
  <si>
    <t>001648789000071</t>
  </si>
  <si>
    <t>00005</t>
  </si>
  <si>
    <t>VIRT</t>
  </si>
  <si>
    <t>ETAT DES ENCAISSEMENTS 4 TR 2025</t>
  </si>
  <si>
    <t>TVA 4 TR 2025</t>
  </si>
  <si>
    <t>RELEVE 10/2025</t>
  </si>
  <si>
    <t>RELEVE 11/2025</t>
  </si>
  <si>
    <t>RELEVE 12/2025</t>
  </si>
  <si>
    <t>CHQ</t>
  </si>
  <si>
    <t>00006</t>
  </si>
  <si>
    <t>MARRA'DJAL</t>
  </si>
  <si>
    <t>SOUAF BOIS</t>
  </si>
  <si>
    <t>001602840000064</t>
  </si>
  <si>
    <t>042143</t>
  </si>
  <si>
    <t>MARRA BOIS</t>
  </si>
  <si>
    <t>003674002000063</t>
  </si>
  <si>
    <t>000422</t>
  </si>
  <si>
    <t>042001</t>
  </si>
  <si>
    <t>2025018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</si>
</sst>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€_-;\-* #,##0.00\ _€_-;_-* &quot;-&quot;??\ _€_-;_-@_-"/>
    <numFmt numFmtId="165" formatCode="#,##0.00_ ;[Red]\-#,##0.00\ 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mbria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Times New Roman"/>
      <family val="1"/>
    </font>
    <font>
      <b/>
      <sz val="9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9"/>
      <name val="Times New Roman"/>
      <family val="1"/>
    </font>
    <font>
      <sz val="9"/>
      <color theme="1"/>
      <name val="Times New Roman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164" fontId="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17">
    <xf numFmtId="0" fontId="0" fillId="0" borderId="0" xfId="0"/>
    <xf numFmtId="164" fontId="4" fillId="0" borderId="0" xfId="2" applyFont="1"/>
    <xf numFmtId="0" fontId="4" fillId="0" borderId="0" xfId="11" applyFont="1"/>
    <xf numFmtId="165" fontId="4" fillId="0" borderId="0" xfId="2" applyNumberFormat="1" applyFont="1"/>
    <xf numFmtId="14" fontId="4" fillId="0" borderId="0" xfId="11" applyNumberFormat="1" applyFont="1"/>
    <xf numFmtId="0" fontId="5" fillId="0" borderId="0" xfId="11" applyFont="1"/>
    <xf numFmtId="0" fontId="5" fillId="5" borderId="16" xfId="11" applyFont="1" applyFill="1" applyBorder="1" applyAlignment="1">
      <alignment horizontal="center"/>
    </xf>
    <xf numFmtId="0" fontId="5" fillId="5" borderId="17" xfId="11" applyFont="1" applyFill="1" applyBorder="1" applyAlignment="1">
      <alignment horizontal="center"/>
    </xf>
    <xf numFmtId="164" fontId="5" fillId="5" borderId="17" xfId="2" applyFont="1" applyFill="1" applyBorder="1" applyAlignment="1">
      <alignment horizontal="center"/>
    </xf>
    <xf numFmtId="165" fontId="5" fillId="5" borderId="17" xfId="2" applyNumberFormat="1" applyFont="1" applyFill="1" applyBorder="1" applyAlignment="1">
      <alignment horizontal="center"/>
    </xf>
    <xf numFmtId="0" fontId="5" fillId="5" borderId="18" xfId="11" applyFont="1" applyFill="1" applyBorder="1" applyAlignment="1">
      <alignment horizontal="center"/>
    </xf>
    <xf numFmtId="14" fontId="5" fillId="5" borderId="19" xfId="11" applyNumberFormat="1" applyFont="1" applyFill="1" applyBorder="1" applyAlignment="1">
      <alignment horizontal="center"/>
    </xf>
    <xf numFmtId="14" fontId="6" fillId="0" borderId="1" xfId="11" applyNumberFormat="1" applyFont="1" applyBorder="1" applyAlignment="1">
      <alignment horizontal="center"/>
    </xf>
    <xf numFmtId="49" fontId="6" fillId="0" borderId="1" xfId="11" applyNumberFormat="1" applyFont="1" applyBorder="1" applyAlignment="1">
      <alignment horizontal="center" vertical="center"/>
    </xf>
    <xf numFmtId="165" fontId="6" fillId="0" borderId="1" xfId="2" applyNumberFormat="1" applyFont="1" applyFill="1" applyBorder="1" applyAlignment="1">
      <alignment horizontal="center" vertical="center"/>
    </xf>
    <xf numFmtId="0" fontId="6" fillId="0" borderId="1" xfId="11" applyFont="1" applyBorder="1" applyAlignment="1">
      <alignment horizontal="center" vertical="center"/>
    </xf>
    <xf numFmtId="0" fontId="4" fillId="0" borderId="1" xfId="11" applyFont="1" applyBorder="1" applyAlignment="1">
      <alignment horizontal="center" vertical="center"/>
    </xf>
    <xf numFmtId="164" fontId="5" fillId="2" borderId="23" xfId="2" applyFont="1" applyFill="1" applyBorder="1" applyAlignment="1">
      <alignment horizontal="right"/>
    </xf>
    <xf numFmtId="164" fontId="4" fillId="0" borderId="0" xfId="2" applyFont="1" applyBorder="1" applyAlignment="1">
      <alignment horizontal="center"/>
    </xf>
    <xf numFmtId="165" fontId="4" fillId="0" borderId="0" xfId="11" applyNumberFormat="1" applyFont="1"/>
    <xf numFmtId="165" fontId="4" fillId="0" borderId="0" xfId="2" applyNumberFormat="1" applyFont="1" applyBorder="1" applyAlignment="1"/>
    <xf numFmtId="165" fontId="6" fillId="2" borderId="1" xfId="2" applyNumberFormat="1" applyFont="1" applyFill="1" applyBorder="1" applyAlignment="1">
      <alignment horizontal="center" vertical="center"/>
    </xf>
    <xf numFmtId="0" fontId="8" fillId="3" borderId="0" xfId="0" applyFont="1" applyFill="1"/>
    <xf numFmtId="0" fontId="8" fillId="0" borderId="0" xfId="0" applyFont="1"/>
    <xf numFmtId="0" fontId="8" fillId="3" borderId="1" xfId="0" applyFont="1" applyFill="1" applyBorder="1" applyProtection="1">
      <protection locked="0"/>
    </xf>
    <xf numFmtId="0" fontId="8" fillId="0" borderId="0" xfId="0" applyFont="1" applyAlignment="1">
      <alignment horizontal="center" vertical="center"/>
    </xf>
    <xf numFmtId="0" fontId="8" fillId="0" borderId="11" xfId="0" applyFont="1" applyBorder="1"/>
    <xf numFmtId="0" fontId="8" fillId="0" borderId="12" xfId="0" applyFont="1" applyBorder="1"/>
    <xf numFmtId="0" fontId="11" fillId="0" borderId="0" xfId="0" applyFont="1"/>
    <xf numFmtId="0" fontId="8" fillId="0" borderId="8" xfId="0" applyFont="1" applyBorder="1"/>
    <xf numFmtId="0" fontId="8" fillId="0" borderId="9" xfId="0" applyFont="1" applyBorder="1"/>
    <xf numFmtId="9" fontId="10" fillId="0" borderId="13" xfId="0" applyNumberFormat="1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14" fontId="10" fillId="0" borderId="13" xfId="0" applyNumberFormat="1" applyFont="1" applyBorder="1" applyAlignment="1">
      <alignment horizontal="center" vertical="center"/>
    </xf>
    <xf numFmtId="0" fontId="8" fillId="0" borderId="10" xfId="0" applyFont="1" applyBorder="1"/>
    <xf numFmtId="0" fontId="5" fillId="0" borderId="0" xfId="11" quotePrefix="1" applyFont="1" applyAlignment="1">
      <alignment vertical="center"/>
    </xf>
    <xf numFmtId="164" fontId="6" fillId="0" borderId="1" xfId="22" applyFont="1" applyFill="1" applyBorder="1" applyAlignment="1">
      <alignment horizontal="center" vertical="center"/>
    </xf>
    <xf numFmtId="164" fontId="6" fillId="2" borderId="1" xfId="12" applyNumberFormat="1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right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" xfId="11" applyFont="1" applyBorder="1" applyAlignment="1">
      <alignment horizontal="center"/>
    </xf>
    <xf numFmtId="164" fontId="5" fillId="0" borderId="1" xfId="2" applyFont="1" applyBorder="1" applyAlignment="1">
      <alignment horizontal="center"/>
    </xf>
    <xf numFmtId="164" fontId="4" fillId="0" borderId="1" xfId="22" applyFont="1" applyBorder="1" applyAlignment="1">
      <alignment horizontal="center" vertical="center"/>
    </xf>
    <xf numFmtId="164" fontId="4" fillId="0" borderId="1" xfId="2" applyFont="1" applyBorder="1" applyAlignment="1">
      <alignment horizontal="center" vertical="center"/>
    </xf>
    <xf numFmtId="164" fontId="4" fillId="0" borderId="1" xfId="11" applyNumberFormat="1" applyFont="1" applyBorder="1" applyAlignment="1">
      <alignment horizontal="center" vertical="center"/>
    </xf>
    <xf numFmtId="4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Font="1" applyFill="1" applyBorder="1" applyAlignment="1" applyProtection="1">
      <alignment horizontal="center" vertical="center" wrapText="1"/>
      <protection locked="0"/>
    </xf>
    <xf numFmtId="14" fontId="4" fillId="0" borderId="1" xfId="11" applyNumberFormat="1" applyFont="1" applyBorder="1" applyAlignment="1">
      <alignment horizontal="center" vertical="center"/>
    </xf>
    <xf numFmtId="164" fontId="4" fillId="0" borderId="1" xfId="22" applyFont="1" applyFill="1" applyBorder="1" applyAlignment="1">
      <alignment horizontal="center" vertical="center"/>
    </xf>
    <xf numFmtId="164" fontId="4" fillId="0" borderId="1" xfId="2" applyFont="1" applyFill="1" applyBorder="1" applyAlignment="1">
      <alignment horizontal="center" vertical="center"/>
    </xf>
    <xf numFmtId="164" fontId="4" fillId="0" borderId="0" xfId="2" applyFont="1" applyFill="1"/>
    <xf numFmtId="165" fontId="4" fillId="0" borderId="0" xfId="2" applyNumberFormat="1" applyFont="1" applyFill="1"/>
    <xf numFmtId="0" fontId="8" fillId="0" borderId="15" xfId="0" applyFont="1" applyBorder="1"/>
    <xf numFmtId="164" fontId="8" fillId="0" borderId="15" xfId="0" applyNumberFormat="1" applyFont="1" applyBorder="1"/>
    <xf numFmtId="0" fontId="8" fillId="4" borderId="15" xfId="0" applyFont="1" applyFill="1" applyBorder="1"/>
    <xf numFmtId="0" fontId="8" fillId="0" borderId="2" xfId="0" applyFont="1" applyBorder="1"/>
    <xf numFmtId="0" fontId="8" fillId="0" borderId="1" xfId="0" applyFont="1" applyBorder="1" applyProtection="1">
      <protection locked="0"/>
    </xf>
    <xf numFmtId="49" fontId="10" fillId="2" borderId="15" xfId="0" applyNumberFormat="1" applyFont="1" applyFill="1" applyBorder="1" applyAlignment="1" applyProtection="1">
      <alignment horizontal="center" vertical="center"/>
      <protection locked="0"/>
    </xf>
    <xf numFmtId="4" fontId="10" fillId="2" borderId="15" xfId="0" applyNumberFormat="1" applyFont="1" applyFill="1" applyBorder="1" applyAlignment="1" applyProtection="1">
      <alignment horizontal="center" vertical="center"/>
      <protection locked="0"/>
    </xf>
    <xf numFmtId="9" fontId="10" fillId="2" borderId="15" xfId="0" applyNumberFormat="1" applyFont="1" applyFill="1" applyBorder="1" applyAlignment="1" applyProtection="1">
      <alignment horizontal="center" vertical="center" wrapText="1"/>
      <protection locked="0"/>
    </xf>
    <xf numFmtId="0" fontId="10" fillId="2" borderId="15" xfId="0" applyFont="1" applyFill="1" applyBorder="1" applyAlignment="1">
      <alignment horizontal="center" vertical="center"/>
    </xf>
    <xf numFmtId="14" fontId="10" fillId="2" borderId="15" xfId="0" applyNumberFormat="1" applyFont="1" applyFill="1" applyBorder="1" applyAlignment="1" applyProtection="1">
      <alignment horizontal="center" vertical="center"/>
      <protection locked="0"/>
    </xf>
    <xf numFmtId="14" fontId="10" fillId="2" borderId="2" xfId="0" applyNumberFormat="1" applyFont="1" applyFill="1" applyBorder="1" applyAlignment="1" applyProtection="1">
      <alignment horizontal="center" vertical="center"/>
      <protection locked="0"/>
    </xf>
    <xf numFmtId="0" fontId="5" fillId="7" borderId="0" xfId="11" applyFont="1" applyFill="1"/>
    <xf numFmtId="4" fontId="13" fillId="2" borderId="1" xfId="0" applyNumberFormat="1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 wrapText="1"/>
      <protection locked="0"/>
    </xf>
    <xf numFmtId="49" fontId="13" fillId="2" borderId="1" xfId="0" applyNumberFormat="1" applyFont="1" applyFill="1" applyBorder="1" applyAlignment="1" applyProtection="1">
      <alignment horizontal="center" vertical="center"/>
      <protection locked="0"/>
    </xf>
    <xf numFmtId="9" fontId="13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3" fillId="2" borderId="1" xfId="0" applyFont="1" applyFill="1" applyBorder="1" applyAlignment="1">
      <alignment horizontal="center" vertical="center"/>
    </xf>
    <xf numFmtId="14" fontId="13" fillId="2" borderId="1" xfId="0" applyNumberFormat="1" applyFont="1" applyFill="1" applyBorder="1" applyAlignment="1" applyProtection="1">
      <alignment horizontal="center" vertical="center"/>
      <protection locked="0"/>
    </xf>
    <xf numFmtId="14" fontId="13" fillId="2" borderId="14" xfId="0" applyNumberFormat="1" applyFont="1" applyFill="1" applyBorder="1" applyAlignment="1" applyProtection="1">
      <alignment horizontal="center" vertical="center"/>
      <protection locked="0"/>
    </xf>
    <xf numFmtId="4" fontId="13" fillId="2" borderId="15" xfId="0" applyNumberFormat="1" applyFont="1" applyFill="1" applyBorder="1" applyAlignment="1" applyProtection="1">
      <alignment horizontal="center" vertical="center"/>
      <protection locked="0"/>
    </xf>
    <xf numFmtId="0" fontId="13" fillId="2" borderId="15" xfId="0" applyFont="1" applyFill="1" applyBorder="1" applyAlignment="1">
      <alignment horizontal="center" vertical="center"/>
    </xf>
    <xf numFmtId="14" fontId="13" fillId="2" borderId="15" xfId="0" applyNumberFormat="1" applyFont="1" applyFill="1" applyBorder="1" applyAlignment="1" applyProtection="1">
      <alignment horizontal="center" vertical="center"/>
      <protection locked="0"/>
    </xf>
    <xf numFmtId="14" fontId="13" fillId="2" borderId="2" xfId="0" applyNumberFormat="1" applyFont="1" applyFill="1" applyBorder="1" applyAlignment="1" applyProtection="1">
      <alignment horizontal="center" vertical="center"/>
      <protection locked="0"/>
    </xf>
    <xf numFmtId="49" fontId="13" fillId="2" borderId="1" xfId="0" applyNumberFormat="1" applyFont="1" applyFill="1" applyBorder="1" applyAlignment="1">
      <alignment horizontal="center" vertical="center"/>
    </xf>
    <xf numFmtId="9" fontId="13" fillId="2" borderId="15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>
      <alignment horizontal="left"/>
    </xf>
    <xf numFmtId="0" fontId="8" fillId="3" borderId="0" xfId="0" applyFont="1" applyFill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9" fillId="0" borderId="1" xfId="0" applyFont="1" applyBorder="1" applyAlignment="1">
      <alignment horizontal="left"/>
    </xf>
    <xf numFmtId="14" fontId="5" fillId="2" borderId="20" xfId="11" quotePrefix="1" applyNumberFormat="1" applyFont="1" applyFill="1" applyBorder="1" applyAlignment="1">
      <alignment horizontal="center"/>
    </xf>
    <xf numFmtId="14" fontId="5" fillId="2" borderId="21" xfId="11" quotePrefix="1" applyNumberFormat="1" applyFont="1" applyFill="1" applyBorder="1" applyAlignment="1">
      <alignment horizontal="center"/>
    </xf>
    <xf numFmtId="14" fontId="5" fillId="2" borderId="22" xfId="11" quotePrefix="1" applyNumberFormat="1" applyFont="1" applyFill="1" applyBorder="1" applyAlignment="1">
      <alignment horizontal="center"/>
    </xf>
    <xf numFmtId="0" fontId="7" fillId="0" borderId="14" xfId="11" applyFont="1" applyBorder="1" applyAlignment="1">
      <alignment horizontal="center" vertical="center"/>
    </xf>
    <xf numFmtId="0" fontId="7" fillId="0" borderId="24" xfId="11" applyFont="1" applyBorder="1" applyAlignment="1">
      <alignment horizontal="center" vertical="center"/>
    </xf>
    <xf numFmtId="0" fontId="7" fillId="0" borderId="25" xfId="11" applyFont="1" applyBorder="1" applyAlignment="1">
      <alignment horizontal="center" vertical="center"/>
    </xf>
    <xf numFmtId="0" fontId="5" fillId="0" borderId="0" xfId="11" quotePrefix="1" applyFont="1" applyAlignment="1">
      <alignment horizontal="center" vertical="center"/>
    </xf>
    <xf numFmtId="164" fontId="7" fillId="0" borderId="14" xfId="2" applyFont="1" applyBorder="1" applyAlignment="1">
      <alignment horizontal="center" vertical="center"/>
    </xf>
    <xf numFmtId="164" fontId="7" fillId="0" borderId="24" xfId="2" applyFont="1" applyBorder="1" applyAlignment="1">
      <alignment horizontal="center" vertical="center"/>
    </xf>
    <xf numFmtId="164" fontId="7" fillId="0" borderId="25" xfId="2" applyFont="1" applyBorder="1" applyAlignment="1">
      <alignment horizontal="center" vertical="center"/>
    </xf>
    <xf numFmtId="164" fontId="7" fillId="6" borderId="14" xfId="2" applyFont="1" applyFill="1" applyBorder="1" applyAlignment="1">
      <alignment horizontal="center" vertical="center"/>
    </xf>
    <xf numFmtId="164" fontId="7" fillId="6" borderId="24" xfId="2" applyFont="1" applyFill="1" applyBorder="1" applyAlignment="1">
      <alignment horizontal="center" vertical="center"/>
    </xf>
    <xf numFmtId="164" fontId="7" fillId="6" borderId="25" xfId="2" applyFont="1" applyFill="1" applyBorder="1" applyAlignment="1">
      <alignment horizontal="center" vertical="center"/>
    </xf>
    <xf numFmtId="164" fontId="7" fillId="0" borderId="14" xfId="2" applyFont="1" applyFill="1" applyBorder="1" applyAlignment="1">
      <alignment horizontal="center" vertical="center"/>
    </xf>
    <xf numFmtId="164" fontId="7" fillId="0" borderId="24" xfId="2" applyFont="1" applyFill="1" applyBorder="1" applyAlignment="1">
      <alignment horizontal="center" vertical="center"/>
    </xf>
    <xf numFmtId="164" fontId="7" fillId="0" borderId="25" xfId="2" applyFont="1" applyFill="1" applyBorder="1" applyAlignment="1">
      <alignment horizontal="center" vertical="center"/>
    </xf>
    <xf numFmtId="164" fontId="12" fillId="0" borderId="14" xfId="2" applyFont="1" applyBorder="1" applyAlignment="1">
      <alignment horizontal="center" vertical="center"/>
    </xf>
    <xf numFmtId="164" fontId="12" fillId="0" borderId="24" xfId="2" applyFont="1" applyBorder="1" applyAlignment="1">
      <alignment horizontal="center" vertical="center"/>
    </xf>
    <xf numFmtId="164" fontId="12" fillId="0" borderId="25" xfId="2" applyFont="1" applyBorder="1" applyAlignment="1">
      <alignment horizontal="center" vertical="center"/>
    </xf>
    <xf numFmtId="0" fontId="7" fillId="6" borderId="14" xfId="11" applyFont="1" applyFill="1" applyBorder="1" applyAlignment="1">
      <alignment horizontal="center" vertical="center"/>
    </xf>
    <xf numFmtId="0" fontId="7" fillId="6" borderId="24" xfId="11" applyFont="1" applyFill="1" applyBorder="1" applyAlignment="1">
      <alignment horizontal="center" vertical="center"/>
    </xf>
    <xf numFmtId="0" fontId="7" fillId="6" borderId="25" xfId="11" applyFont="1" applyFill="1" applyBorder="1" applyAlignment="1">
      <alignment horizontal="center" vertical="center"/>
    </xf>
    <xf numFmtId="0" fontId="12" fillId="0" borderId="14" xfId="11" applyFont="1" applyBorder="1" applyAlignment="1">
      <alignment horizontal="center" vertical="center"/>
    </xf>
    <xf numFmtId="0" fontId="12" fillId="0" borderId="24" xfId="11" applyFont="1" applyBorder="1" applyAlignment="1">
      <alignment horizontal="center" vertical="center"/>
    </xf>
    <xf numFmtId="0" fontId="12" fillId="0" borderId="25" xfId="11" applyFont="1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 wrapText="1"/>
      <protection locked="0"/>
    </xf>
    <xf numFmtId="49" fontId="14" fillId="2" borderId="1" xfId="0" applyNumberFormat="1" applyFont="1" applyFill="1" applyBorder="1" applyAlignment="1" applyProtection="1">
      <alignment horizontal="center" vertical="center"/>
      <protection locked="0"/>
    </xf>
    <xf numFmtId="4" fontId="14" fillId="2" borderId="1" xfId="0" applyNumberFormat="1" applyFont="1" applyFill="1" applyBorder="1" applyAlignment="1" applyProtection="1">
      <alignment horizontal="center" vertical="center"/>
      <protection locked="0"/>
    </xf>
    <xf numFmtId="9" fontId="14" fillId="2" borderId="1" xfId="0" applyNumberFormat="1" applyFont="1" applyFill="1" applyBorder="1" applyAlignment="1" applyProtection="1">
      <alignment horizontal="center" vertical="center" wrapText="1"/>
      <protection locked="0"/>
    </xf>
    <xf numFmtId="14" fontId="14" fillId="2" borderId="1" xfId="0" applyNumberFormat="1" applyFont="1" applyFill="1" applyBorder="1" applyAlignment="1" applyProtection="1">
      <alignment horizontal="center" vertical="center"/>
      <protection locked="0"/>
    </xf>
    <xf numFmtId="14" fontId="14" fillId="2" borderId="14" xfId="0" applyNumberFormat="1" applyFont="1" applyFill="1" applyBorder="1" applyAlignment="1" applyProtection="1">
      <alignment horizontal="center" vertical="center"/>
      <protection locked="0"/>
    </xf>
  </cellXfs>
  <cellStyles count="23">
    <cellStyle name="Milliers" xfId="22" builtinId="3"/>
    <cellStyle name="Milliers 2" xfId="2" xr:uid="{00000000-0005-0000-0000-000001000000}"/>
    <cellStyle name="Milliers 2 2" xfId="13" xr:uid="{00000000-0005-0000-0000-000002000000}"/>
    <cellStyle name="Milliers 3" xfId="7" xr:uid="{00000000-0005-0000-0000-000003000000}"/>
    <cellStyle name="Milliers 4" xfId="14" xr:uid="{00000000-0005-0000-0000-000004000000}"/>
    <cellStyle name="Milliers 6" xfId="15" xr:uid="{00000000-0005-0000-0000-000005000000}"/>
    <cellStyle name="Normal" xfId="0" builtinId="0"/>
    <cellStyle name="Normal 10" xfId="16" xr:uid="{00000000-0005-0000-0000-000007000000}"/>
    <cellStyle name="Normal 11" xfId="9" xr:uid="{00000000-0005-0000-0000-000008000000}"/>
    <cellStyle name="Normal 12" xfId="10" xr:uid="{00000000-0005-0000-0000-000009000000}"/>
    <cellStyle name="Normal 13" xfId="11" xr:uid="{00000000-0005-0000-0000-00000A000000}"/>
    <cellStyle name="Normal 15" xfId="17" xr:uid="{00000000-0005-0000-0000-00000B000000}"/>
    <cellStyle name="Normal 2" xfId="1" xr:uid="{00000000-0005-0000-0000-00000C000000}"/>
    <cellStyle name="Normal 2 2" xfId="18" xr:uid="{00000000-0005-0000-0000-00000D000000}"/>
    <cellStyle name="Normal 3" xfId="3" xr:uid="{00000000-0005-0000-0000-00000E000000}"/>
    <cellStyle name="Normal 4" xfId="4" xr:uid="{00000000-0005-0000-0000-00000F000000}"/>
    <cellStyle name="Normal 5" xfId="5" xr:uid="{00000000-0005-0000-0000-000010000000}"/>
    <cellStyle name="Normal 6" xfId="6" xr:uid="{00000000-0005-0000-0000-000011000000}"/>
    <cellStyle name="Normal 7" xfId="8" xr:uid="{00000000-0005-0000-0000-000012000000}"/>
    <cellStyle name="Normal 8" xfId="19" xr:uid="{00000000-0005-0000-0000-000013000000}"/>
    <cellStyle name="Normal 9" xfId="20" xr:uid="{00000000-0005-0000-0000-000014000000}"/>
    <cellStyle name="Pourcentage 2" xfId="12" xr:uid="{00000000-0005-0000-0000-000015000000}"/>
    <cellStyle name="Pourcentage 2 2" xfId="21" xr:uid="{00000000-0005-0000-0000-000016000000}"/>
  </cellStyles>
  <dxfs count="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9"/>
      </font>
      <alignment horizontal="center" vertical="center" textRotation="0" indent="0" justifyLastLine="0" shrinkToFit="0" readingOrder="0"/>
      <border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scheme val="none"/>
      </font>
      <numFmt numFmtId="13" formatCode="0%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-* #,##0.00\ _€_-;\-* #,##0.00\ _€_-;_-* &quot;-&quot;??\ _€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scheme val="none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-* #,##0.00\ _€_-;\-* #,##0.00\ _€_-;_-* &quot;-&quot;??\ _€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scheme val="none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-* #,##0.00\ _€_-;\-* #,##0.00\ _€_-;_-* &quot;-&quot;??\ _€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scheme val="none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textRotation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DeclarationReleveDeduction">
        <xs:complexType>
          <xs:sequence>
            <xs:element type="xs:int" name="identifiantFiscal"/>
            <xs:element type="xs:short" name="annee"/>
            <xs:element type="xs:byte" name="periode"/>
            <xs:element type="xs:byte" name="regime"/>
            <xs:element name="releveDeductions">
              <xs:complexType>
                <xs:sequence>
                  <xs:element name="rd" maxOccurs="unbounded" minOccurs="0">
                    <xs:complexType>
                      <xs:sequence>
                        <xs:element type="xs:byte" name="ord"/>
                        <xs:element type="xs:string" name="num"/>
                        <xs:element type="xs:string" name="des"/>
                        <xs:element type="xs:float" name="mht"/>
                        <xs:element type="xs:float" name="tva"/>
                        <xs:element type="xs:float" name="ttc"/>
                        <xs:element name="refF">
                          <xs:complexType>
                            <xs:sequence>
                              <xs:element type="xs:int" name="if"/>
                              <xs:element type="xs:string" name="nom"/>
                              <xs:element type="xs:string" name="ice"/>
                            </xs:sequence>
                          </xs:complexType>
                        </xs:element>
                        <xs:element type="xs:float" name="tx"/>
                        <xs:element name="mp">
                          <xs:complexType>
                            <xs:sequence>
                              <xs:element type="xs:byte" name="id"/>
                            </xs:sequence>
                          </xs:complexType>
                        </xs:element>
                        <xs:element type="xs:date" name="dpai"/>
                        <xs:element type="xs:date" name="dfac"/>
                      </xs:sequence>
                    </xs:complexType>
                  </xs:element>
                </xs:sequence>
              </xs:complexType>
            </xs:element>
          </xs:sequence>
        </xs:complexType>
      </xs:element>
    </xs:schema>
  </Schema>
  <Map ID="1" Name="DeclarationReleveDeduction_Mappage" RootElement="DeclarationReleveDeduction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123825</xdr:colOff>
      <xdr:row>0</xdr:row>
      <xdr:rowOff>123824</xdr:rowOff>
    </xdr:from>
    <xdr:to>
      <xdr:col>4</xdr:col>
      <xdr:colOff>548273</xdr:colOff>
      <xdr:row>4</xdr:row>
      <xdr:rowOff>152400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0850" y="123824"/>
          <a:ext cx="1348373" cy="752476"/>
        </a:xfrm>
        <a:prstGeom prst="rect">
          <a:avLst/>
        </a:prstGeom>
      </xdr:spPr>
    </xdr:pic>
    <xdr:clientData/>
  </xdr:twoCellAnchor>
  <xdr:twoCellAnchor editAs="oneCell">
    <xdr:from>
      <xdr:col>6</xdr:col>
      <xdr:colOff>590550</xdr:colOff>
      <xdr:row>0</xdr:row>
      <xdr:rowOff>0</xdr:rowOff>
    </xdr:from>
    <xdr:to>
      <xdr:col>7</xdr:col>
      <xdr:colOff>493794</xdr:colOff>
      <xdr:row>3</xdr:row>
      <xdr:rowOff>95250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0"/>
          <a:ext cx="797728" cy="65722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0</xdr:row>
      <xdr:rowOff>152400</xdr:rowOff>
    </xdr:from>
    <xdr:to>
      <xdr:col>12</xdr:col>
      <xdr:colOff>541701</xdr:colOff>
      <xdr:row>5</xdr:row>
      <xdr:rowOff>14929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58125" y="152400"/>
          <a:ext cx="1230964" cy="748354"/>
        </a:xfrm>
        <a:prstGeom prst="rect">
          <a:avLst/>
        </a:prstGeom>
      </xdr:spPr>
    </xdr:pic>
    <xdr:clientData/>
  </xdr:twoCellAnchor>
  <xdr:twoCellAnchor>
    <xdr:from>
      <xdr:col>3</xdr:col>
      <xdr:colOff>123826</xdr:colOff>
      <xdr:row>4</xdr:row>
      <xdr:rowOff>57150</xdr:rowOff>
    </xdr:from>
    <xdr:to>
      <xdr:col>4</xdr:col>
      <xdr:colOff>619126</xdr:colOff>
      <xdr:row>5</xdr:row>
      <xdr:rowOff>66675</xdr:rowOff>
    </xdr:to>
    <xdr:sp macro="[0]!Export216" textlink="">
      <xdr:nvSpPr>
        <xdr:cNvPr id="6" name="Rectangle à coins arrondi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409826" y="781050"/>
          <a:ext cx="1352550" cy="1714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fr-FR" sz="1100"/>
            <a:t>Générer</a:t>
          </a:r>
          <a:r>
            <a:rPr lang="fr-FR" sz="1100" baseline="0"/>
            <a:t> XML</a:t>
          </a:r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eau5" displayName="Tableau5" ref="A8:M17" tableType="xml" totalsRowCount="1" headerRowDxfId="29" dataDxfId="28" totalsRowDxfId="26" tableBorderDxfId="27">
  <autoFilter ref="A8:M16" xr:uid="{00000000-0009-0000-0100-000005000000}"/>
  <tableColumns count="13">
    <tableColumn id="1" xr3:uid="{00000000-0010-0000-0000-000001000000}" uniqueName="ord" name="OR" totalsRowLabel="Total" dataDxfId="25" totalsRowDxfId="24">
      <xmlColumnPr mapId="1" xpath="/DeclarationReleveDeduction/releveDeductions/rd/ord" xmlDataType="byte"/>
    </tableColumn>
    <tableColumn id="2" xr3:uid="{00000000-0010-0000-0000-000002000000}" uniqueName="num" name="FACT_NUM" dataDxfId="23" totalsRowDxfId="22">
      <xmlColumnPr mapId="1" xpath="/DeclarationReleveDeduction/releveDeductions/rd/num" xmlDataType="string"/>
    </tableColumn>
    <tableColumn id="3" xr3:uid="{00000000-0010-0000-0000-000003000000}" uniqueName="des" name="DESIGNATION" dataDxfId="21" totalsRowDxfId="20">
      <xmlColumnPr mapId="1" xpath="/DeclarationReleveDeduction/releveDeductions/rd/des" xmlDataType="string"/>
    </tableColumn>
    <tableColumn id="4" xr3:uid="{00000000-0010-0000-0000-000004000000}" uniqueName="mht" name="M_HT" totalsRowFunction="sum" dataDxfId="19" totalsRowDxfId="18">
      <calculatedColumnFormula>+Tableau5[[#This Row],[M_TTC]]/(1+Tableau5[[#This Row],[TAUX]])</calculatedColumnFormula>
      <xmlColumnPr mapId="1" xpath="/DeclarationReleveDeduction/releveDeductions/rd/mht" xmlDataType="float"/>
    </tableColumn>
    <tableColumn id="5" xr3:uid="{00000000-0010-0000-0000-000005000000}" uniqueName="tva" name="TVA" totalsRowFunction="sum" dataDxfId="17" totalsRowDxfId="16">
      <calculatedColumnFormula>+Tableau5[[#This Row],[M_HT]]*Tableau5[[#This Row],[TAUX]]</calculatedColumnFormula>
      <xmlColumnPr mapId="1" xpath="/DeclarationReleveDeduction/releveDeductions/rd/tva" xmlDataType="float"/>
    </tableColumn>
    <tableColumn id="6" xr3:uid="{00000000-0010-0000-0000-000006000000}" uniqueName="ttc" name="M_TTC" totalsRowFunction="sum" dataDxfId="15" totalsRowDxfId="14">
      <xmlColumnPr mapId="1" xpath="/DeclarationReleveDeduction/releveDeductions/rd/ttc" xmlDataType="float"/>
    </tableColumn>
    <tableColumn id="7" xr3:uid="{00000000-0010-0000-0000-000007000000}" uniqueName="if" name="IF" dataDxfId="13" totalsRowDxfId="12">
      <xmlColumnPr mapId="1" xpath="/DeclarationReleveDeduction/releveDeductions/rd/refF/if" xmlDataType="int"/>
    </tableColumn>
    <tableColumn id="8" xr3:uid="{00000000-0010-0000-0000-000008000000}" uniqueName="nom" name="LIB_FRSS" dataDxfId="11" totalsRowDxfId="10">
      <xmlColumnPr mapId="1" xpath="/DeclarationReleveDeduction/releveDeductions/rd/refF/nom" xmlDataType="string"/>
    </tableColumn>
    <tableColumn id="9" xr3:uid="{00000000-0010-0000-0000-000009000000}" uniqueName="ice" name="ICE_FRS" dataDxfId="9" totalsRowDxfId="8">
      <xmlColumnPr mapId="1" xpath="/DeclarationReleveDeduction/releveDeductions/rd/refF/ice" xmlDataType="string"/>
    </tableColumn>
    <tableColumn id="10" xr3:uid="{00000000-0010-0000-0000-00000A000000}" uniqueName="tx" name="TAUX" dataDxfId="7" totalsRowDxfId="6">
      <xmlColumnPr mapId="1" xpath="/DeclarationReleveDeduction/releveDeductions/rd/tx" xmlDataType="float"/>
    </tableColumn>
    <tableColumn id="11" xr3:uid="{00000000-0010-0000-0000-00000B000000}" uniqueName="id" name="ID_PAIE" dataDxfId="5" totalsRowDxfId="4">
      <xmlColumnPr mapId="1" xpath="/DeclarationReleveDeduction/releveDeductions/rd/mp/id" xmlDataType="byte"/>
    </tableColumn>
    <tableColumn id="12" xr3:uid="{00000000-0010-0000-0000-00000C000000}" uniqueName="dpai" name="DATE_PAIE" dataDxfId="3" totalsRowDxfId="2">
      <xmlColumnPr mapId="1" xpath="/DeclarationReleveDeduction/releveDeductions/rd/dpai" xmlDataType="date"/>
    </tableColumn>
    <tableColumn id="13" xr3:uid="{00000000-0010-0000-0000-00000D000000}" uniqueName="dfac" name="DATE_FAC" totalsRowFunction="count" dataDxfId="1" totalsRowDxfId="0">
      <xmlColumnPr mapId="1" xpath="/DeclarationReleveDeduction/releveDeductions/rd/dfac" xmlDataType="date"/>
    </tableColumn>
  </tableColumns>
  <tableStyleInfo name="TableStyleMedium9" showFirstColumn="0" showLastColumn="0" showRowStripes="1" showColumnStripes="0"/>
</table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1" xr6:uid="{00000000-000C-0000-FFFF-FFFF01000000}" r="C3" connectionId="0">
    <xmlCellPr id="1" xr6:uid="{00000000-0010-0000-0100-000001000000}" uniqueName="identifiantFiscal">
      <xmlPr mapId="1" xpath="/DeclarationReleveDeduction/identifiantFiscal" xmlDataType="int"/>
    </xmlCellPr>
  </singleXmlCell>
  <singleXmlCell id="2" xr6:uid="{00000000-000C-0000-FFFF-FFFF02000000}" r="C4" connectionId="0">
    <xmlCellPr id="1" xr6:uid="{00000000-0010-0000-0200-000001000000}" uniqueName="annee">
      <xmlPr mapId="1" xpath="/DeclarationReleveDeduction/annee" xmlDataType="short"/>
    </xmlCellPr>
  </singleXmlCell>
  <singleXmlCell id="3" xr6:uid="{00000000-000C-0000-FFFF-FFFF03000000}" r="C5" connectionId="0">
    <xmlCellPr id="1" xr6:uid="{00000000-0010-0000-0300-000001000000}" uniqueName="periode">
      <xmlPr mapId="1" xpath="/DeclarationReleveDeduction/periode" xmlDataType="byte"/>
    </xmlCellPr>
  </singleXmlCell>
  <singleXmlCell id="4" xr6:uid="{00000000-000C-0000-FFFF-FFFF04000000}" r="C6" connectionId="0">
    <xmlCellPr id="1" xr6:uid="{00000000-0010-0000-0400-000001000000}" uniqueName="regime">
      <xmlPr mapId="1" xpath="/DeclarationReleveDeduction/regime" xmlDataType="byte"/>
    </xmlCellPr>
  </singleXmlCell>
</singleXmlCel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SingleCells" Target="../tables/tableSingleCell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9" tint="-0.249977111117893"/>
  </sheetPr>
  <dimension ref="A1:Q836"/>
  <sheetViews>
    <sheetView tabSelected="1" zoomScale="90" zoomScaleNormal="90" workbookViewId="0">
      <selection activeCell="A15" sqref="A15:XFD15"/>
    </sheetView>
  </sheetViews>
  <sheetFormatPr baseColWidth="10" defaultColWidth="0" defaultRowHeight="12" zeroHeight="1" x14ac:dyDescent="0.2"/>
  <cols>
    <col min="1" max="1" width="3.85546875" style="23" customWidth="1"/>
    <col min="2" max="2" width="22" style="23" bestFit="1" customWidth="1"/>
    <col min="3" max="3" width="29.85546875" style="23" bestFit="1" customWidth="1"/>
    <col min="4" max="4" width="13.85546875" style="23" customWidth="1"/>
    <col min="5" max="5" width="13.28515625" style="23" customWidth="1"/>
    <col min="6" max="6" width="12.42578125" style="23" customWidth="1"/>
    <col min="7" max="7" width="13.42578125" style="23" bestFit="1" customWidth="1"/>
    <col min="8" max="8" width="31.7109375" style="23" bestFit="1" customWidth="1"/>
    <col min="9" max="9" width="17.140625" style="23" customWidth="1"/>
    <col min="10" max="10" width="8.85546875" style="23" customWidth="1"/>
    <col min="11" max="11" width="11" style="23" customWidth="1"/>
    <col min="12" max="12" width="14" style="23" customWidth="1"/>
    <col min="13" max="13" width="11.28515625" style="23" customWidth="1"/>
    <col min="14" max="15" width="11.42578125" style="23" hidden="1" customWidth="1"/>
    <col min="16" max="17" width="0" style="23" hidden="1" customWidth="1"/>
    <col min="18" max="16384" width="11.42578125" style="23" hidden="1"/>
  </cols>
  <sheetData>
    <row r="1" spans="1:15" ht="18.75" customHeight="1" x14ac:dyDescent="0.2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78" t="s">
        <v>10</v>
      </c>
      <c r="M1" s="78"/>
      <c r="N1" s="22"/>
      <c r="O1" s="22"/>
    </row>
    <row r="2" spans="1:15" ht="12.75" customHeight="1" x14ac:dyDescent="0.2">
      <c r="A2" s="77" t="s">
        <v>8</v>
      </c>
      <c r="B2" s="77"/>
      <c r="C2" s="38" t="s">
        <v>47</v>
      </c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5" ht="12.75" customHeight="1" x14ac:dyDescent="0.2">
      <c r="A3" s="85" t="s">
        <v>0</v>
      </c>
      <c r="B3" s="85"/>
      <c r="C3" s="56">
        <v>66200268</v>
      </c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</row>
    <row r="4" spans="1:15" ht="12.75" customHeight="1" x14ac:dyDescent="0.2">
      <c r="A4" s="77" t="s">
        <v>1</v>
      </c>
      <c r="B4" s="77"/>
      <c r="C4" s="24">
        <v>2025</v>
      </c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</row>
    <row r="5" spans="1:15" ht="12.75" customHeight="1" x14ac:dyDescent="0.2">
      <c r="A5" s="77" t="s">
        <v>27</v>
      </c>
      <c r="B5" s="77"/>
      <c r="C5" s="24">
        <v>4</v>
      </c>
      <c r="D5" s="22"/>
      <c r="E5" s="22"/>
      <c r="F5" s="79" t="s">
        <v>11</v>
      </c>
      <c r="G5" s="80"/>
      <c r="H5" s="80"/>
      <c r="I5" s="80"/>
      <c r="J5" s="80"/>
      <c r="K5" s="81"/>
      <c r="L5" s="22"/>
      <c r="M5" s="22"/>
      <c r="N5" s="22"/>
      <c r="O5" s="22"/>
    </row>
    <row r="6" spans="1:15" ht="12.75" customHeight="1" x14ac:dyDescent="0.2">
      <c r="A6" s="77" t="s">
        <v>20</v>
      </c>
      <c r="B6" s="77"/>
      <c r="C6" s="24">
        <v>2</v>
      </c>
      <c r="D6" s="22"/>
      <c r="E6" s="22"/>
      <c r="F6" s="82" t="s">
        <v>12</v>
      </c>
      <c r="G6" s="83"/>
      <c r="H6" s="83"/>
      <c r="I6" s="83"/>
      <c r="J6" s="83"/>
      <c r="K6" s="84"/>
      <c r="L6" s="22"/>
      <c r="M6" s="22"/>
      <c r="N6" s="22"/>
      <c r="O6" s="22"/>
    </row>
    <row r="7" spans="1:15" ht="18.75" customHeight="1" x14ac:dyDescent="0.2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</row>
    <row r="8" spans="1:15" ht="20.100000000000001" customHeight="1" x14ac:dyDescent="0.2">
      <c r="A8" s="25" t="s">
        <v>14</v>
      </c>
      <c r="B8" s="25" t="s">
        <v>15</v>
      </c>
      <c r="C8" s="25" t="s">
        <v>13</v>
      </c>
      <c r="D8" s="25" t="s">
        <v>2</v>
      </c>
      <c r="E8" s="25" t="s">
        <v>3</v>
      </c>
      <c r="F8" s="25" t="s">
        <v>16</v>
      </c>
      <c r="G8" s="25" t="s">
        <v>7</v>
      </c>
      <c r="H8" s="25" t="s">
        <v>17</v>
      </c>
      <c r="I8" s="25" t="s">
        <v>19</v>
      </c>
      <c r="J8" s="25" t="s">
        <v>4</v>
      </c>
      <c r="K8" s="25" t="s">
        <v>18</v>
      </c>
      <c r="L8" s="25" t="s">
        <v>5</v>
      </c>
      <c r="M8" s="25" t="s">
        <v>6</v>
      </c>
    </row>
    <row r="9" spans="1:15" ht="17.25" customHeight="1" x14ac:dyDescent="0.2">
      <c r="A9" s="46">
        <v>1</v>
      </c>
      <c r="B9" s="39" t="s">
        <v>75</v>
      </c>
      <c r="C9" s="39" t="s">
        <v>53</v>
      </c>
      <c r="D9" s="45">
        <f>+Tableau5[[#This Row],[M_TTC]]/(1+Tableau5[[#This Row],[TAUX]])</f>
        <v>1250</v>
      </c>
      <c r="E9" s="45">
        <f>+Tableau5[[#This Row],[M_HT]]*Tableau5[[#This Row],[TAUX]]</f>
        <v>250</v>
      </c>
      <c r="F9" s="64">
        <v>1500</v>
      </c>
      <c r="G9" s="65">
        <v>50680990</v>
      </c>
      <c r="H9" s="66" t="s">
        <v>54</v>
      </c>
      <c r="I9" s="66" t="s">
        <v>55</v>
      </c>
      <c r="J9" s="67">
        <v>0.2</v>
      </c>
      <c r="K9" s="68">
        <v>4</v>
      </c>
      <c r="L9" s="69">
        <v>45938</v>
      </c>
      <c r="M9" s="70">
        <v>45952</v>
      </c>
    </row>
    <row r="10" spans="1:15" ht="17.25" customHeight="1" x14ac:dyDescent="0.2">
      <c r="A10" s="46">
        <v>2</v>
      </c>
      <c r="B10" s="57" t="s">
        <v>73</v>
      </c>
      <c r="C10" s="57" t="s">
        <v>48</v>
      </c>
      <c r="D10" s="58">
        <f>+Tableau5[[#This Row],[M_TTC]]/(1+Tableau5[[#This Row],[TAUX]])</f>
        <v>6666.666666666667</v>
      </c>
      <c r="E10" s="58">
        <f>+Tableau5[[#This Row],[M_HT]]*Tableau5[[#This Row],[TAUX]]</f>
        <v>1333.3333333333335</v>
      </c>
      <c r="F10" s="71">
        <v>8000</v>
      </c>
      <c r="G10" s="65">
        <v>66169294</v>
      </c>
      <c r="H10" s="66" t="s">
        <v>71</v>
      </c>
      <c r="I10" s="66" t="s">
        <v>72</v>
      </c>
      <c r="J10" s="67">
        <v>0.2</v>
      </c>
      <c r="K10" s="72">
        <v>2</v>
      </c>
      <c r="L10" s="73">
        <v>46013</v>
      </c>
      <c r="M10" s="74">
        <v>46000</v>
      </c>
    </row>
    <row r="11" spans="1:15" ht="17.25" customHeight="1" x14ac:dyDescent="0.2">
      <c r="A11" s="46">
        <v>3</v>
      </c>
      <c r="B11" s="57" t="s">
        <v>70</v>
      </c>
      <c r="C11" s="57" t="s">
        <v>48</v>
      </c>
      <c r="D11" s="58">
        <f>+Tableau5[[#This Row],[M_TTC]]/(1+Tableau5[[#This Row],[TAUX]])</f>
        <v>16666.666666666668</v>
      </c>
      <c r="E11" s="58">
        <f>+Tableau5[[#This Row],[M_HT]]*Tableau5[[#This Row],[TAUX]]</f>
        <v>3333.3333333333339</v>
      </c>
      <c r="F11" s="71">
        <v>20000</v>
      </c>
      <c r="G11" s="65">
        <v>6501155</v>
      </c>
      <c r="H11" s="66" t="s">
        <v>68</v>
      </c>
      <c r="I11" s="66" t="s">
        <v>69</v>
      </c>
      <c r="J11" s="76">
        <v>0.2</v>
      </c>
      <c r="K11" s="72">
        <v>2</v>
      </c>
      <c r="L11" s="73">
        <v>45981</v>
      </c>
      <c r="M11" s="74">
        <v>45965</v>
      </c>
    </row>
    <row r="12" spans="1:15" ht="17.25" customHeight="1" x14ac:dyDescent="0.2">
      <c r="A12" s="46">
        <v>4</v>
      </c>
      <c r="B12" s="57" t="s">
        <v>74</v>
      </c>
      <c r="C12" s="57" t="s">
        <v>48</v>
      </c>
      <c r="D12" s="58">
        <f>+Tableau5[[#This Row],[M_TTC]]/(1+Tableau5[[#This Row],[TAUX]])</f>
        <v>29166.666666666668</v>
      </c>
      <c r="E12" s="58">
        <f>+Tableau5[[#This Row],[M_HT]]*Tableau5[[#This Row],[TAUX]]</f>
        <v>5833.3333333333339</v>
      </c>
      <c r="F12" s="71">
        <v>35000</v>
      </c>
      <c r="G12" s="65">
        <v>6501155</v>
      </c>
      <c r="H12" s="66" t="s">
        <v>68</v>
      </c>
      <c r="I12" s="66" t="s">
        <v>69</v>
      </c>
      <c r="J12" s="76">
        <v>0.2</v>
      </c>
      <c r="K12" s="72">
        <v>2</v>
      </c>
      <c r="L12" s="73">
        <v>45950</v>
      </c>
      <c r="M12" s="74">
        <v>45931</v>
      </c>
    </row>
    <row r="13" spans="1:15" ht="17.25" customHeight="1" x14ac:dyDescent="0.2">
      <c r="A13" s="46">
        <v>5</v>
      </c>
      <c r="B13" s="57" t="s">
        <v>62</v>
      </c>
      <c r="C13" s="57" t="s">
        <v>52</v>
      </c>
      <c r="D13" s="58">
        <f>+Tableau5[[#This Row],[M_TTC]]/(1+Tableau5[[#This Row],[TAUX]])</f>
        <v>168.49090909090907</v>
      </c>
      <c r="E13" s="58">
        <f>+Tableau5[[#This Row],[M_HT]]*Tableau5[[#This Row],[TAUX]]</f>
        <v>16.849090909090908</v>
      </c>
      <c r="F13" s="58">
        <v>185.34</v>
      </c>
      <c r="G13" s="65">
        <v>1085221</v>
      </c>
      <c r="H13" s="68" t="s">
        <v>56</v>
      </c>
      <c r="I13" s="75" t="s">
        <v>57</v>
      </c>
      <c r="J13" s="59">
        <v>0.1</v>
      </c>
      <c r="K13" s="60">
        <v>3</v>
      </c>
      <c r="L13" s="61">
        <v>45961</v>
      </c>
      <c r="M13" s="62">
        <v>45961</v>
      </c>
    </row>
    <row r="14" spans="1:15" ht="17.25" customHeight="1" x14ac:dyDescent="0.2">
      <c r="A14" s="46">
        <v>6</v>
      </c>
      <c r="B14" s="57" t="s">
        <v>63</v>
      </c>
      <c r="C14" s="57" t="s">
        <v>52</v>
      </c>
      <c r="D14" s="58">
        <f>+Tableau5[[#This Row],[M_TTC]]/(1+Tableau5[[#This Row],[TAUX]])</f>
        <v>128.6181818181818</v>
      </c>
      <c r="E14" s="58">
        <f>+Tableau5[[#This Row],[M_HT]]*Tableau5[[#This Row],[TAUX]]</f>
        <v>12.86181818181818</v>
      </c>
      <c r="F14" s="58">
        <v>141.47999999999999</v>
      </c>
      <c r="G14" s="65">
        <v>1085221</v>
      </c>
      <c r="H14" s="68" t="s">
        <v>56</v>
      </c>
      <c r="I14" s="75" t="s">
        <v>57</v>
      </c>
      <c r="J14" s="59">
        <v>0.1</v>
      </c>
      <c r="K14" s="60">
        <v>3</v>
      </c>
      <c r="L14" s="61">
        <v>45991</v>
      </c>
      <c r="M14" s="62">
        <v>45991</v>
      </c>
    </row>
    <row r="15" spans="1:15" ht="17.25" customHeight="1" x14ac:dyDescent="0.2">
      <c r="A15" s="111"/>
      <c r="B15" s="112"/>
      <c r="C15" s="112"/>
      <c r="D15" s="113">
        <f>+Tableau5[[#This Row],[M_TTC]]/(1+Tableau5[[#This Row],[TAUX]])</f>
        <v>0</v>
      </c>
      <c r="E15" s="113">
        <f>+Tableau5[[#This Row],[M_HT]]*Tableau5[[#This Row],[TAUX]]</f>
        <v>0</v>
      </c>
      <c r="F15" s="113"/>
      <c r="G15" s="111"/>
      <c r="H15" s="112"/>
      <c r="I15" s="112"/>
      <c r="J15" s="114"/>
      <c r="K15" s="60"/>
      <c r="L15" s="115"/>
      <c r="M15" s="116"/>
    </row>
    <row r="16" spans="1:15" ht="17.25" customHeight="1" x14ac:dyDescent="0.2">
      <c r="A16" s="46">
        <v>7</v>
      </c>
      <c r="B16" s="57" t="s">
        <v>64</v>
      </c>
      <c r="C16" s="57" t="s">
        <v>52</v>
      </c>
      <c r="D16" s="58">
        <f>+Tableau5[[#This Row],[M_TTC]]/(1+Tableau5[[#This Row],[TAUX]])</f>
        <v>128.6181818181818</v>
      </c>
      <c r="E16" s="58">
        <f>+Tableau5[[#This Row],[M_HT]]*Tableau5[[#This Row],[TAUX]]</f>
        <v>12.86181818181818</v>
      </c>
      <c r="F16" s="58">
        <v>141.47999999999999</v>
      </c>
      <c r="G16" s="65">
        <v>1085221</v>
      </c>
      <c r="H16" s="68" t="s">
        <v>56</v>
      </c>
      <c r="I16" s="75" t="s">
        <v>57</v>
      </c>
      <c r="J16" s="59">
        <v>0.1</v>
      </c>
      <c r="K16" s="60">
        <v>3</v>
      </c>
      <c r="L16" s="61">
        <v>46022</v>
      </c>
      <c r="M16" s="62">
        <v>46022</v>
      </c>
    </row>
    <row r="17" spans="1:17" s="27" customFormat="1" ht="12.75" customHeight="1" x14ac:dyDescent="0.2">
      <c r="A17" s="23" t="s">
        <v>9</v>
      </c>
      <c r="B17" s="52"/>
      <c r="C17" s="52"/>
      <c r="D17" s="53">
        <f>SUBTOTAL(109,Tableau5[M_HT])</f>
        <v>54175.727272727265</v>
      </c>
      <c r="E17" s="53">
        <f>SUBTOTAL(109,Tableau5[TVA])</f>
        <v>10792.572727272729</v>
      </c>
      <c r="F17" s="53">
        <f>SUBTOTAL(109,Tableau5[M_TTC])</f>
        <v>64968.3</v>
      </c>
      <c r="G17" s="52"/>
      <c r="H17" s="52"/>
      <c r="I17" s="52"/>
      <c r="J17" s="52"/>
      <c r="K17" s="54"/>
      <c r="L17" s="52"/>
      <c r="M17" s="55">
        <f>SUBTOTAL(103,Tableau5[DATE_FAC])</f>
        <v>7</v>
      </c>
      <c r="N17" s="26"/>
    </row>
    <row r="18" spans="1:17" s="30" customFormat="1" x14ac:dyDescent="0.2">
      <c r="A18" s="23"/>
      <c r="B18" s="28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9"/>
    </row>
    <row r="19" spans="1:17" s="30" customFormat="1" x14ac:dyDescent="0.2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9"/>
    </row>
    <row r="20" spans="1:17" s="30" customFormat="1" x14ac:dyDescent="0.2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31">
        <v>7.0000000000000007E-2</v>
      </c>
      <c r="O20" s="32">
        <v>2</v>
      </c>
      <c r="P20" s="33">
        <v>43616</v>
      </c>
      <c r="Q20" s="33">
        <v>43585</v>
      </c>
    </row>
    <row r="21" spans="1:17" s="34" customFormat="1" x14ac:dyDescent="0.2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</row>
    <row r="22" spans="1:17" s="27" customFormat="1" x14ac:dyDescent="0.2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6"/>
    </row>
    <row r="23" spans="1:17" s="30" customFormat="1" x14ac:dyDescent="0.2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9"/>
    </row>
    <row r="24" spans="1:17" s="30" customFormat="1" x14ac:dyDescent="0.2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9"/>
    </row>
    <row r="25" spans="1:17" s="30" customFormat="1" x14ac:dyDescent="0.2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</row>
    <row r="26" spans="1:17" s="30" customFormat="1" x14ac:dyDescent="0.2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</row>
    <row r="27" spans="1:17" s="30" customFormat="1" x14ac:dyDescent="0.2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</row>
    <row r="28" spans="1:17" s="30" customFormat="1" x14ac:dyDescent="0.2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</row>
    <row r="29" spans="1:17" s="30" customFormat="1" x14ac:dyDescent="0.2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</row>
    <row r="30" spans="1:17" s="30" customFormat="1" x14ac:dyDescent="0.2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</row>
    <row r="31" spans="1:17" s="30" customFormat="1" x14ac:dyDescent="0.2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</row>
    <row r="32" spans="1:17" s="30" customFormat="1" x14ac:dyDescent="0.2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</row>
    <row r="33" spans="1:13" s="30" customFormat="1" x14ac:dyDescent="0.2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</row>
    <row r="34" spans="1:13" s="30" customFormat="1" x14ac:dyDescent="0.2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</row>
    <row r="35" spans="1:13" s="30" customFormat="1" x14ac:dyDescent="0.2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</row>
    <row r="36" spans="1:13" s="30" customFormat="1" x14ac:dyDescent="0.2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</row>
    <row r="37" spans="1:13" s="30" customFormat="1" x14ac:dyDescent="0.2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</row>
    <row r="38" spans="1:13" s="30" customFormat="1" x14ac:dyDescent="0.2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</row>
    <row r="39" spans="1:13" s="30" customFormat="1" x14ac:dyDescent="0.2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</row>
    <row r="40" spans="1:13" s="30" customFormat="1" x14ac:dyDescent="0.2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</row>
    <row r="41" spans="1:13" s="30" customFormat="1" x14ac:dyDescent="0.2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</row>
    <row r="42" spans="1:13" s="30" customFormat="1" x14ac:dyDescent="0.2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</row>
    <row r="43" spans="1:13" s="30" customFormat="1" x14ac:dyDescent="0.2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</row>
    <row r="44" spans="1:13" s="30" customFormat="1" x14ac:dyDescent="0.2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</row>
    <row r="45" spans="1:13" s="30" customFormat="1" x14ac:dyDescent="0.2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</row>
    <row r="46" spans="1:13" s="30" customFormat="1" x14ac:dyDescent="0.2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</row>
    <row r="47" spans="1:13" s="30" customFormat="1" x14ac:dyDescent="0.2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</row>
    <row r="48" spans="1:13" s="30" customFormat="1" x14ac:dyDescent="0.2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</row>
    <row r="49" spans="1:17" s="30" customFormat="1" x14ac:dyDescent="0.2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</row>
    <row r="50" spans="1:17" s="30" customFormat="1" x14ac:dyDescent="0.2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</row>
    <row r="51" spans="1:17" s="30" customFormat="1" x14ac:dyDescent="0.2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</row>
    <row r="52" spans="1:17" s="30" customFormat="1" x14ac:dyDescent="0.2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</row>
    <row r="53" spans="1:17" s="30" customFormat="1" x14ac:dyDescent="0.2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</row>
    <row r="54" spans="1:17" s="30" customFormat="1" x14ac:dyDescent="0.2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</row>
    <row r="55" spans="1:17" s="30" customFormat="1" x14ac:dyDescent="0.2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P55" s="30">
        <v>2025</v>
      </c>
      <c r="Q55" s="30">
        <v>11</v>
      </c>
    </row>
    <row r="56" spans="1:17" s="30" customFormat="1" x14ac:dyDescent="0.2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P56" s="30">
        <v>2026</v>
      </c>
      <c r="Q56" s="30">
        <v>12</v>
      </c>
    </row>
    <row r="57" spans="1:17" s="30" customFormat="1" x14ac:dyDescent="0.2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</row>
    <row r="58" spans="1:17" s="30" customFormat="1" x14ac:dyDescent="0.2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</row>
    <row r="59" spans="1:17" s="30" customFormat="1" x14ac:dyDescent="0.2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</row>
    <row r="60" spans="1:17" s="30" customFormat="1" x14ac:dyDescent="0.2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</row>
    <row r="61" spans="1:17" s="30" customFormat="1" x14ac:dyDescent="0.2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</row>
    <row r="62" spans="1:17" s="30" customFormat="1" x14ac:dyDescent="0.2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</row>
    <row r="63" spans="1:17" s="30" customFormat="1" x14ac:dyDescent="0.2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</row>
    <row r="64" spans="1:17" s="30" customFormat="1" x14ac:dyDescent="0.2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</row>
    <row r="65" spans="1:13" s="30" customFormat="1" x14ac:dyDescent="0.2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</row>
    <row r="66" spans="1:13" s="30" customFormat="1" x14ac:dyDescent="0.2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</row>
    <row r="67" spans="1:13" s="30" customFormat="1" x14ac:dyDescent="0.2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</row>
    <row r="68" spans="1:13" s="30" customFormat="1" x14ac:dyDescent="0.2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</row>
    <row r="69" spans="1:13" s="30" customFormat="1" x14ac:dyDescent="0.2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</row>
    <row r="70" spans="1:13" s="30" customFormat="1" x14ac:dyDescent="0.2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</row>
    <row r="71" spans="1:13" s="30" customFormat="1" x14ac:dyDescent="0.2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</row>
    <row r="72" spans="1:13" s="30" customFormat="1" x14ac:dyDescent="0.2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</row>
    <row r="73" spans="1:13" s="30" customFormat="1" x14ac:dyDescent="0.2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</row>
    <row r="74" spans="1:13" s="30" customFormat="1" x14ac:dyDescent="0.2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</row>
    <row r="75" spans="1:13" s="30" customFormat="1" x14ac:dyDescent="0.2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</row>
    <row r="76" spans="1:13" s="30" customFormat="1" x14ac:dyDescent="0.2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</row>
    <row r="77" spans="1:13" s="30" customFormat="1" x14ac:dyDescent="0.2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</row>
    <row r="78" spans="1:13" s="30" customFormat="1" x14ac:dyDescent="0.2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</row>
    <row r="79" spans="1:13" s="30" customFormat="1" x14ac:dyDescent="0.2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</row>
    <row r="80" spans="1:13" s="30" customFormat="1" x14ac:dyDescent="0.2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</row>
    <row r="81" spans="1:13" s="30" customFormat="1" x14ac:dyDescent="0.2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</row>
    <row r="82" spans="1:13" s="30" customFormat="1" x14ac:dyDescent="0.2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</row>
    <row r="83" spans="1:13" s="30" customFormat="1" x14ac:dyDescent="0.2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</row>
    <row r="84" spans="1:13" s="30" customFormat="1" x14ac:dyDescent="0.2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</row>
    <row r="85" spans="1:13" s="30" customFormat="1" x14ac:dyDescent="0.2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</row>
    <row r="86" spans="1:13" s="30" customFormat="1" x14ac:dyDescent="0.2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</row>
    <row r="87" spans="1:13" s="30" customFormat="1" x14ac:dyDescent="0.2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</row>
    <row r="88" spans="1:13" s="30" customFormat="1" x14ac:dyDescent="0.2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</row>
    <row r="89" spans="1:13" s="30" customFormat="1" x14ac:dyDescent="0.2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</row>
    <row r="90" spans="1:13" s="30" customFormat="1" x14ac:dyDescent="0.2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</row>
    <row r="91" spans="1:13" s="30" customFormat="1" x14ac:dyDescent="0.2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</row>
    <row r="92" spans="1:13" s="30" customFormat="1" x14ac:dyDescent="0.2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</row>
    <row r="93" spans="1:13" s="30" customFormat="1" x14ac:dyDescent="0.2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</row>
    <row r="94" spans="1:13" s="30" customFormat="1" x14ac:dyDescent="0.2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</row>
    <row r="95" spans="1:13" s="30" customFormat="1" x14ac:dyDescent="0.2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</row>
    <row r="96" spans="1:13" s="30" customFormat="1" x14ac:dyDescent="0.2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</row>
    <row r="97" spans="1:13" s="30" customFormat="1" x14ac:dyDescent="0.2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</row>
    <row r="98" spans="1:13" s="30" customFormat="1" x14ac:dyDescent="0.2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</row>
    <row r="99" spans="1:13" s="30" customFormat="1" x14ac:dyDescent="0.2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</row>
    <row r="100" spans="1:13" s="30" customFormat="1" x14ac:dyDescent="0.2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</row>
    <row r="101" spans="1:13" s="34" customFormat="1" x14ac:dyDescent="0.2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</row>
    <row r="102" spans="1:13" x14ac:dyDescent="0.2"/>
    <row r="103" spans="1:13" x14ac:dyDescent="0.2"/>
    <row r="104" spans="1:13" x14ac:dyDescent="0.2"/>
    <row r="105" spans="1:13" x14ac:dyDescent="0.2"/>
    <row r="106" spans="1:13" x14ac:dyDescent="0.2"/>
    <row r="107" spans="1:13" x14ac:dyDescent="0.2"/>
    <row r="108" spans="1:13" x14ac:dyDescent="0.2"/>
    <row r="109" spans="1:13" x14ac:dyDescent="0.2"/>
    <row r="110" spans="1:13" x14ac:dyDescent="0.2"/>
    <row r="111" spans="1:13" x14ac:dyDescent="0.2"/>
    <row r="112" spans="1:13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  <row r="200" x14ac:dyDescent="0.2"/>
    <row r="201" x14ac:dyDescent="0.2"/>
    <row r="202" x14ac:dyDescent="0.2"/>
    <row r="203" x14ac:dyDescent="0.2"/>
    <row r="204" x14ac:dyDescent="0.2"/>
    <row r="205" x14ac:dyDescent="0.2"/>
    <row r="206" x14ac:dyDescent="0.2"/>
    <row r="207" x14ac:dyDescent="0.2"/>
    <row r="208" x14ac:dyDescent="0.2"/>
    <row r="209" x14ac:dyDescent="0.2"/>
    <row r="210" x14ac:dyDescent="0.2"/>
    <row r="211" x14ac:dyDescent="0.2"/>
    <row r="212" x14ac:dyDescent="0.2"/>
    <row r="213" x14ac:dyDescent="0.2"/>
    <row r="214" x14ac:dyDescent="0.2"/>
    <row r="215" x14ac:dyDescent="0.2"/>
    <row r="216" x14ac:dyDescent="0.2"/>
    <row r="217" x14ac:dyDescent="0.2"/>
    <row r="218" x14ac:dyDescent="0.2"/>
    <row r="219" x14ac:dyDescent="0.2"/>
    <row r="220" x14ac:dyDescent="0.2"/>
    <row r="221" x14ac:dyDescent="0.2"/>
    <row r="222" x14ac:dyDescent="0.2"/>
    <row r="223" x14ac:dyDescent="0.2"/>
    <row r="224" x14ac:dyDescent="0.2"/>
    <row r="225" x14ac:dyDescent="0.2"/>
    <row r="226" x14ac:dyDescent="0.2"/>
    <row r="227" x14ac:dyDescent="0.2"/>
    <row r="228" x14ac:dyDescent="0.2"/>
    <row r="229" x14ac:dyDescent="0.2"/>
    <row r="230" x14ac:dyDescent="0.2"/>
    <row r="231" x14ac:dyDescent="0.2"/>
    <row r="232" x14ac:dyDescent="0.2"/>
    <row r="233" x14ac:dyDescent="0.2"/>
    <row r="234" x14ac:dyDescent="0.2"/>
    <row r="235" x14ac:dyDescent="0.2"/>
    <row r="236" x14ac:dyDescent="0.2"/>
    <row r="237" x14ac:dyDescent="0.2"/>
    <row r="238" x14ac:dyDescent="0.2"/>
    <row r="239" x14ac:dyDescent="0.2"/>
    <row r="240" x14ac:dyDescent="0.2"/>
    <row r="241" x14ac:dyDescent="0.2"/>
    <row r="242" x14ac:dyDescent="0.2"/>
    <row r="243" x14ac:dyDescent="0.2"/>
    <row r="244" x14ac:dyDescent="0.2"/>
    <row r="245" x14ac:dyDescent="0.2"/>
    <row r="246" x14ac:dyDescent="0.2"/>
    <row r="247" x14ac:dyDescent="0.2"/>
    <row r="248" x14ac:dyDescent="0.2"/>
    <row r="249" x14ac:dyDescent="0.2"/>
    <row r="250" x14ac:dyDescent="0.2"/>
    <row r="251" x14ac:dyDescent="0.2"/>
    <row r="252" x14ac:dyDescent="0.2"/>
    <row r="253" x14ac:dyDescent="0.2"/>
    <row r="254" x14ac:dyDescent="0.2"/>
    <row r="255" x14ac:dyDescent="0.2"/>
    <row r="256" x14ac:dyDescent="0.2"/>
    <row r="257" x14ac:dyDescent="0.2"/>
    <row r="258" x14ac:dyDescent="0.2"/>
    <row r="259" x14ac:dyDescent="0.2"/>
    <row r="260" x14ac:dyDescent="0.2"/>
    <row r="261" x14ac:dyDescent="0.2"/>
    <row r="262" x14ac:dyDescent="0.2"/>
    <row r="263" x14ac:dyDescent="0.2"/>
    <row r="264" x14ac:dyDescent="0.2"/>
    <row r="265" x14ac:dyDescent="0.2"/>
    <row r="266" x14ac:dyDescent="0.2"/>
    <row r="267" x14ac:dyDescent="0.2"/>
    <row r="268" x14ac:dyDescent="0.2"/>
    <row r="269" x14ac:dyDescent="0.2"/>
    <row r="270" x14ac:dyDescent="0.2"/>
    <row r="271" x14ac:dyDescent="0.2"/>
    <row r="272" x14ac:dyDescent="0.2"/>
    <row r="273" x14ac:dyDescent="0.2"/>
    <row r="274" x14ac:dyDescent="0.2"/>
    <row r="275" x14ac:dyDescent="0.2"/>
    <row r="276" x14ac:dyDescent="0.2"/>
    <row r="277" x14ac:dyDescent="0.2"/>
    <row r="278" x14ac:dyDescent="0.2"/>
    <row r="279" x14ac:dyDescent="0.2"/>
    <row r="280" x14ac:dyDescent="0.2"/>
    <row r="281" x14ac:dyDescent="0.2"/>
    <row r="282" x14ac:dyDescent="0.2"/>
    <row r="283" x14ac:dyDescent="0.2"/>
    <row r="284" x14ac:dyDescent="0.2"/>
    <row r="285" x14ac:dyDescent="0.2"/>
    <row r="286" x14ac:dyDescent="0.2"/>
    <row r="287" x14ac:dyDescent="0.2"/>
    <row r="288" x14ac:dyDescent="0.2"/>
    <row r="289" x14ac:dyDescent="0.2"/>
    <row r="290" x14ac:dyDescent="0.2"/>
    <row r="291" x14ac:dyDescent="0.2"/>
    <row r="292" x14ac:dyDescent="0.2"/>
    <row r="293" x14ac:dyDescent="0.2"/>
    <row r="294" x14ac:dyDescent="0.2"/>
    <row r="295" x14ac:dyDescent="0.2"/>
    <row r="296" x14ac:dyDescent="0.2"/>
    <row r="297" x14ac:dyDescent="0.2"/>
    <row r="298" x14ac:dyDescent="0.2"/>
    <row r="299" x14ac:dyDescent="0.2"/>
    <row r="300" x14ac:dyDescent="0.2"/>
    <row r="301" x14ac:dyDescent="0.2"/>
    <row r="302" x14ac:dyDescent="0.2"/>
    <row r="303" x14ac:dyDescent="0.2"/>
    <row r="304" x14ac:dyDescent="0.2"/>
    <row r="305" x14ac:dyDescent="0.2"/>
    <row r="306" x14ac:dyDescent="0.2"/>
    <row r="307" x14ac:dyDescent="0.2"/>
    <row r="308" x14ac:dyDescent="0.2"/>
    <row r="309" x14ac:dyDescent="0.2"/>
    <row r="310" x14ac:dyDescent="0.2"/>
    <row r="311" x14ac:dyDescent="0.2"/>
    <row r="312" x14ac:dyDescent="0.2"/>
    <row r="313" x14ac:dyDescent="0.2"/>
    <row r="314" x14ac:dyDescent="0.2"/>
    <row r="315" x14ac:dyDescent="0.2"/>
    <row r="316" x14ac:dyDescent="0.2"/>
    <row r="317" x14ac:dyDescent="0.2"/>
    <row r="318" x14ac:dyDescent="0.2"/>
    <row r="319" x14ac:dyDescent="0.2"/>
    <row r="320" x14ac:dyDescent="0.2"/>
    <row r="321" x14ac:dyDescent="0.2"/>
    <row r="322" x14ac:dyDescent="0.2"/>
    <row r="323" x14ac:dyDescent="0.2"/>
    <row r="324" x14ac:dyDescent="0.2"/>
    <row r="325" x14ac:dyDescent="0.2"/>
    <row r="326" x14ac:dyDescent="0.2"/>
    <row r="327" x14ac:dyDescent="0.2"/>
    <row r="328" x14ac:dyDescent="0.2"/>
    <row r="329" x14ac:dyDescent="0.2"/>
    <row r="330" x14ac:dyDescent="0.2"/>
    <row r="331" x14ac:dyDescent="0.2"/>
    <row r="332" x14ac:dyDescent="0.2"/>
    <row r="333" x14ac:dyDescent="0.2"/>
    <row r="334" x14ac:dyDescent="0.2"/>
    <row r="335" x14ac:dyDescent="0.2"/>
    <row r="336" x14ac:dyDescent="0.2"/>
    <row r="337" x14ac:dyDescent="0.2"/>
    <row r="338" x14ac:dyDescent="0.2"/>
    <row r="339" x14ac:dyDescent="0.2"/>
    <row r="340" x14ac:dyDescent="0.2"/>
    <row r="341" x14ac:dyDescent="0.2"/>
    <row r="342" x14ac:dyDescent="0.2"/>
    <row r="343" x14ac:dyDescent="0.2"/>
    <row r="344" x14ac:dyDescent="0.2"/>
    <row r="345" x14ac:dyDescent="0.2"/>
    <row r="346" x14ac:dyDescent="0.2"/>
    <row r="347" x14ac:dyDescent="0.2"/>
    <row r="348" x14ac:dyDescent="0.2"/>
    <row r="349" x14ac:dyDescent="0.2"/>
    <row r="350" x14ac:dyDescent="0.2"/>
    <row r="351" x14ac:dyDescent="0.2"/>
    <row r="352" x14ac:dyDescent="0.2"/>
    <row r="353" x14ac:dyDescent="0.2"/>
    <row r="354" x14ac:dyDescent="0.2"/>
    <row r="355" x14ac:dyDescent="0.2"/>
    <row r="356" x14ac:dyDescent="0.2"/>
    <row r="357" x14ac:dyDescent="0.2"/>
    <row r="358" x14ac:dyDescent="0.2"/>
    <row r="359" x14ac:dyDescent="0.2"/>
    <row r="360" x14ac:dyDescent="0.2"/>
    <row r="361" x14ac:dyDescent="0.2"/>
    <row r="362" x14ac:dyDescent="0.2"/>
    <row r="363" x14ac:dyDescent="0.2"/>
    <row r="364" x14ac:dyDescent="0.2"/>
    <row r="365" x14ac:dyDescent="0.2"/>
    <row r="366" x14ac:dyDescent="0.2"/>
    <row r="367" x14ac:dyDescent="0.2"/>
    <row r="368" x14ac:dyDescent="0.2"/>
    <row r="369" x14ac:dyDescent="0.2"/>
    <row r="370" x14ac:dyDescent="0.2"/>
    <row r="371" x14ac:dyDescent="0.2"/>
    <row r="372" x14ac:dyDescent="0.2"/>
    <row r="373" x14ac:dyDescent="0.2"/>
    <row r="374" x14ac:dyDescent="0.2"/>
    <row r="375" x14ac:dyDescent="0.2"/>
    <row r="376" x14ac:dyDescent="0.2"/>
    <row r="377" x14ac:dyDescent="0.2"/>
    <row r="378" x14ac:dyDescent="0.2"/>
    <row r="379" x14ac:dyDescent="0.2"/>
    <row r="380" x14ac:dyDescent="0.2"/>
    <row r="381" x14ac:dyDescent="0.2"/>
    <row r="382" x14ac:dyDescent="0.2"/>
    <row r="383" x14ac:dyDescent="0.2"/>
    <row r="384" x14ac:dyDescent="0.2"/>
    <row r="385" x14ac:dyDescent="0.2"/>
    <row r="386" x14ac:dyDescent="0.2"/>
    <row r="387" x14ac:dyDescent="0.2"/>
    <row r="388" x14ac:dyDescent="0.2"/>
    <row r="389" x14ac:dyDescent="0.2"/>
    <row r="390" x14ac:dyDescent="0.2"/>
    <row r="391" x14ac:dyDescent="0.2"/>
    <row r="392" x14ac:dyDescent="0.2"/>
    <row r="393" x14ac:dyDescent="0.2"/>
    <row r="394" x14ac:dyDescent="0.2"/>
    <row r="395" x14ac:dyDescent="0.2"/>
    <row r="396" x14ac:dyDescent="0.2"/>
    <row r="397" x14ac:dyDescent="0.2"/>
    <row r="398" x14ac:dyDescent="0.2"/>
    <row r="399" x14ac:dyDescent="0.2"/>
    <row r="400" x14ac:dyDescent="0.2"/>
    <row r="401" x14ac:dyDescent="0.2"/>
    <row r="402" x14ac:dyDescent="0.2"/>
    <row r="403" x14ac:dyDescent="0.2"/>
    <row r="404" x14ac:dyDescent="0.2"/>
    <row r="405" x14ac:dyDescent="0.2"/>
    <row r="406" x14ac:dyDescent="0.2"/>
    <row r="407" x14ac:dyDescent="0.2"/>
    <row r="408" x14ac:dyDescent="0.2"/>
    <row r="411" x14ac:dyDescent="0.2"/>
    <row r="412" x14ac:dyDescent="0.2"/>
    <row r="414" x14ac:dyDescent="0.2"/>
    <row r="415" x14ac:dyDescent="0.2"/>
    <row r="416" x14ac:dyDescent="0.2"/>
    <row r="417" x14ac:dyDescent="0.2"/>
    <row r="418" x14ac:dyDescent="0.2"/>
    <row r="419" x14ac:dyDescent="0.2"/>
    <row r="420" x14ac:dyDescent="0.2"/>
    <row r="421" x14ac:dyDescent="0.2"/>
    <row r="422" x14ac:dyDescent="0.2"/>
    <row r="423" x14ac:dyDescent="0.2"/>
    <row r="424" x14ac:dyDescent="0.2"/>
    <row r="430" x14ac:dyDescent="0.2"/>
    <row r="431" x14ac:dyDescent="0.2"/>
    <row r="432" x14ac:dyDescent="0.2"/>
    <row r="433" x14ac:dyDescent="0.2"/>
    <row r="434" x14ac:dyDescent="0.2"/>
    <row r="435" x14ac:dyDescent="0.2"/>
    <row r="436" x14ac:dyDescent="0.2"/>
    <row r="437" x14ac:dyDescent="0.2"/>
    <row r="438" x14ac:dyDescent="0.2"/>
    <row r="439" x14ac:dyDescent="0.2"/>
    <row r="447" x14ac:dyDescent="0.2"/>
    <row r="448" x14ac:dyDescent="0.2"/>
    <row r="449" x14ac:dyDescent="0.2"/>
    <row r="450" x14ac:dyDescent="0.2"/>
    <row r="451" x14ac:dyDescent="0.2"/>
    <row r="452" x14ac:dyDescent="0.2"/>
    <row r="453" x14ac:dyDescent="0.2"/>
    <row r="454" x14ac:dyDescent="0.2"/>
    <row r="455" x14ac:dyDescent="0.2"/>
    <row r="462" x14ac:dyDescent="0.2"/>
    <row r="463" x14ac:dyDescent="0.2"/>
    <row r="464" x14ac:dyDescent="0.2"/>
    <row r="465" x14ac:dyDescent="0.2"/>
    <row r="466" x14ac:dyDescent="0.2"/>
    <row r="467" x14ac:dyDescent="0.2"/>
    <row r="468" x14ac:dyDescent="0.2"/>
    <row r="469" x14ac:dyDescent="0.2"/>
    <row r="471" x14ac:dyDescent="0.2"/>
    <row r="478" x14ac:dyDescent="0.2"/>
    <row r="479" x14ac:dyDescent="0.2"/>
    <row r="480" x14ac:dyDescent="0.2"/>
    <row r="481" x14ac:dyDescent="0.2"/>
    <row r="482" x14ac:dyDescent="0.2"/>
    <row r="483" x14ac:dyDescent="0.2"/>
    <row r="484" x14ac:dyDescent="0.2"/>
    <row r="485" x14ac:dyDescent="0.2"/>
    <row r="486" x14ac:dyDescent="0.2"/>
    <row r="487" x14ac:dyDescent="0.2"/>
    <row r="490" x14ac:dyDescent="0.2"/>
    <row r="494" x14ac:dyDescent="0.2"/>
    <row r="495" x14ac:dyDescent="0.2"/>
    <row r="496" x14ac:dyDescent="0.2"/>
    <row r="497" x14ac:dyDescent="0.2"/>
    <row r="498" x14ac:dyDescent="0.2"/>
    <row r="499" x14ac:dyDescent="0.2"/>
    <row r="500" x14ac:dyDescent="0.2"/>
    <row r="501" x14ac:dyDescent="0.2"/>
    <row r="502" x14ac:dyDescent="0.2"/>
    <row r="503" x14ac:dyDescent="0.2"/>
    <row r="504" x14ac:dyDescent="0.2"/>
    <row r="506" x14ac:dyDescent="0.2"/>
    <row r="507" x14ac:dyDescent="0.2"/>
    <row r="509" x14ac:dyDescent="0.2"/>
    <row r="510" x14ac:dyDescent="0.2"/>
    <row r="511" x14ac:dyDescent="0.2"/>
    <row r="512" x14ac:dyDescent="0.2"/>
    <row r="513" x14ac:dyDescent="0.2"/>
    <row r="514" x14ac:dyDescent="0.2"/>
    <row r="515" x14ac:dyDescent="0.2"/>
    <row r="516" x14ac:dyDescent="0.2"/>
    <row r="517" x14ac:dyDescent="0.2"/>
    <row r="518" x14ac:dyDescent="0.2"/>
    <row r="519" x14ac:dyDescent="0.2"/>
    <row r="520" x14ac:dyDescent="0.2"/>
    <row r="522" x14ac:dyDescent="0.2"/>
    <row r="523" x14ac:dyDescent="0.2"/>
    <row r="524" x14ac:dyDescent="0.2"/>
    <row r="525" x14ac:dyDescent="0.2"/>
    <row r="526" x14ac:dyDescent="0.2"/>
    <row r="527" x14ac:dyDescent="0.2"/>
    <row r="528" x14ac:dyDescent="0.2"/>
    <row r="529" x14ac:dyDescent="0.2"/>
    <row r="530" x14ac:dyDescent="0.2"/>
    <row r="531" x14ac:dyDescent="0.2"/>
    <row r="532" x14ac:dyDescent="0.2"/>
    <row r="533" x14ac:dyDescent="0.2"/>
    <row r="534" x14ac:dyDescent="0.2"/>
    <row r="535" x14ac:dyDescent="0.2"/>
    <row r="536" x14ac:dyDescent="0.2"/>
    <row r="537" x14ac:dyDescent="0.2"/>
    <row r="538" x14ac:dyDescent="0.2"/>
    <row r="539" x14ac:dyDescent="0.2"/>
    <row r="540" x14ac:dyDescent="0.2"/>
    <row r="541" x14ac:dyDescent="0.2"/>
    <row r="542" x14ac:dyDescent="0.2"/>
    <row r="543" x14ac:dyDescent="0.2"/>
    <row r="544" x14ac:dyDescent="0.2"/>
    <row r="545" x14ac:dyDescent="0.2"/>
    <row r="546" x14ac:dyDescent="0.2"/>
    <row r="547" x14ac:dyDescent="0.2"/>
    <row r="548" x14ac:dyDescent="0.2"/>
    <row r="549" x14ac:dyDescent="0.2"/>
    <row r="550" x14ac:dyDescent="0.2"/>
    <row r="551" x14ac:dyDescent="0.2"/>
    <row r="552" x14ac:dyDescent="0.2"/>
    <row r="553" x14ac:dyDescent="0.2"/>
    <row r="554" x14ac:dyDescent="0.2"/>
    <row r="555" x14ac:dyDescent="0.2"/>
    <row r="556" x14ac:dyDescent="0.2"/>
    <row r="557" x14ac:dyDescent="0.2"/>
    <row r="558" x14ac:dyDescent="0.2"/>
    <row r="559" x14ac:dyDescent="0.2"/>
    <row r="560" x14ac:dyDescent="0.2"/>
    <row r="561" x14ac:dyDescent="0.2"/>
    <row r="562" x14ac:dyDescent="0.2"/>
    <row r="563" x14ac:dyDescent="0.2"/>
    <row r="564" x14ac:dyDescent="0.2"/>
    <row r="565" x14ac:dyDescent="0.2"/>
    <row r="566" x14ac:dyDescent="0.2"/>
    <row r="567" x14ac:dyDescent="0.2"/>
    <row r="568" x14ac:dyDescent="0.2"/>
    <row r="569" x14ac:dyDescent="0.2"/>
    <row r="570" x14ac:dyDescent="0.2"/>
    <row r="571" x14ac:dyDescent="0.2"/>
    <row r="572" x14ac:dyDescent="0.2"/>
    <row r="573" x14ac:dyDescent="0.2"/>
    <row r="574" x14ac:dyDescent="0.2"/>
    <row r="575" x14ac:dyDescent="0.2"/>
    <row r="576" x14ac:dyDescent="0.2"/>
    <row r="577" x14ac:dyDescent="0.2"/>
    <row r="578" x14ac:dyDescent="0.2"/>
    <row r="579" x14ac:dyDescent="0.2"/>
    <row r="580" x14ac:dyDescent="0.2"/>
    <row r="581" x14ac:dyDescent="0.2"/>
    <row r="582" x14ac:dyDescent="0.2"/>
    <row r="583" x14ac:dyDescent="0.2"/>
    <row r="584" x14ac:dyDescent="0.2"/>
    <row r="585" x14ac:dyDescent="0.2"/>
    <row r="586" x14ac:dyDescent="0.2"/>
    <row r="587" x14ac:dyDescent="0.2"/>
    <row r="588" x14ac:dyDescent="0.2"/>
    <row r="589" x14ac:dyDescent="0.2"/>
    <row r="590" x14ac:dyDescent="0.2"/>
    <row r="591" x14ac:dyDescent="0.2"/>
    <row r="592" x14ac:dyDescent="0.2"/>
    <row r="593" x14ac:dyDescent="0.2"/>
    <row r="594" x14ac:dyDescent="0.2"/>
    <row r="595" x14ac:dyDescent="0.2"/>
    <row r="596" x14ac:dyDescent="0.2"/>
    <row r="597" x14ac:dyDescent="0.2"/>
    <row r="598" x14ac:dyDescent="0.2"/>
    <row r="599" x14ac:dyDescent="0.2"/>
    <row r="600" x14ac:dyDescent="0.2"/>
    <row r="601" x14ac:dyDescent="0.2"/>
    <row r="602" x14ac:dyDescent="0.2"/>
    <row r="603" x14ac:dyDescent="0.2"/>
    <row r="604" x14ac:dyDescent="0.2"/>
    <row r="605" x14ac:dyDescent="0.2"/>
    <row r="606" x14ac:dyDescent="0.2"/>
    <row r="607" x14ac:dyDescent="0.2"/>
    <row r="608" x14ac:dyDescent="0.2"/>
    <row r="609" x14ac:dyDescent="0.2"/>
    <row r="610" x14ac:dyDescent="0.2"/>
    <row r="611" x14ac:dyDescent="0.2"/>
    <row r="612" x14ac:dyDescent="0.2"/>
    <row r="613" x14ac:dyDescent="0.2"/>
    <row r="614" x14ac:dyDescent="0.2"/>
    <row r="615" x14ac:dyDescent="0.2"/>
    <row r="616" x14ac:dyDescent="0.2"/>
    <row r="617" x14ac:dyDescent="0.2"/>
    <row r="618" x14ac:dyDescent="0.2"/>
    <row r="619" x14ac:dyDescent="0.2"/>
    <row r="620" x14ac:dyDescent="0.2"/>
    <row r="621" x14ac:dyDescent="0.2"/>
    <row r="622" x14ac:dyDescent="0.2"/>
    <row r="623" x14ac:dyDescent="0.2"/>
    <row r="624" x14ac:dyDescent="0.2"/>
    <row r="625" x14ac:dyDescent="0.2"/>
    <row r="626" x14ac:dyDescent="0.2"/>
    <row r="627" x14ac:dyDescent="0.2"/>
    <row r="628" x14ac:dyDescent="0.2"/>
    <row r="629" x14ac:dyDescent="0.2"/>
    <row r="630" x14ac:dyDescent="0.2"/>
    <row r="631" x14ac:dyDescent="0.2"/>
    <row r="632" x14ac:dyDescent="0.2"/>
    <row r="633" x14ac:dyDescent="0.2"/>
    <row r="634" x14ac:dyDescent="0.2"/>
    <row r="635" x14ac:dyDescent="0.2"/>
    <row r="636" x14ac:dyDescent="0.2"/>
    <row r="637" x14ac:dyDescent="0.2"/>
    <row r="638" x14ac:dyDescent="0.2"/>
    <row r="639" x14ac:dyDescent="0.2"/>
    <row r="640" x14ac:dyDescent="0.2"/>
    <row r="641" x14ac:dyDescent="0.2"/>
    <row r="642" x14ac:dyDescent="0.2"/>
    <row r="643" x14ac:dyDescent="0.2"/>
    <row r="644" x14ac:dyDescent="0.2"/>
    <row r="645" x14ac:dyDescent="0.2"/>
    <row r="646" x14ac:dyDescent="0.2"/>
    <row r="647" x14ac:dyDescent="0.2"/>
    <row r="648" x14ac:dyDescent="0.2"/>
    <row r="649" x14ac:dyDescent="0.2"/>
    <row r="650" x14ac:dyDescent="0.2"/>
    <row r="651" x14ac:dyDescent="0.2"/>
    <row r="652" x14ac:dyDescent="0.2"/>
    <row r="653" x14ac:dyDescent="0.2"/>
    <row r="654" x14ac:dyDescent="0.2"/>
    <row r="655" x14ac:dyDescent="0.2"/>
    <row r="656" x14ac:dyDescent="0.2"/>
    <row r="657" x14ac:dyDescent="0.2"/>
    <row r="658" x14ac:dyDescent="0.2"/>
    <row r="659" x14ac:dyDescent="0.2"/>
    <row r="660" x14ac:dyDescent="0.2"/>
    <row r="661" x14ac:dyDescent="0.2"/>
    <row r="662" x14ac:dyDescent="0.2"/>
    <row r="663" x14ac:dyDescent="0.2"/>
    <row r="664" x14ac:dyDescent="0.2"/>
    <row r="665" x14ac:dyDescent="0.2"/>
    <row r="666" x14ac:dyDescent="0.2"/>
    <row r="667" x14ac:dyDescent="0.2"/>
    <row r="668" x14ac:dyDescent="0.2"/>
    <row r="669" x14ac:dyDescent="0.2"/>
    <row r="670" x14ac:dyDescent="0.2"/>
    <row r="671" x14ac:dyDescent="0.2"/>
    <row r="672" x14ac:dyDescent="0.2"/>
    <row r="673" x14ac:dyDescent="0.2"/>
    <row r="674" x14ac:dyDescent="0.2"/>
    <row r="675" x14ac:dyDescent="0.2"/>
    <row r="676" x14ac:dyDescent="0.2"/>
    <row r="677" x14ac:dyDescent="0.2"/>
    <row r="678" x14ac:dyDescent="0.2"/>
    <row r="679" x14ac:dyDescent="0.2"/>
    <row r="680" x14ac:dyDescent="0.2"/>
    <row r="681" x14ac:dyDescent="0.2"/>
    <row r="682" x14ac:dyDescent="0.2"/>
    <row r="683" x14ac:dyDescent="0.2"/>
    <row r="684" x14ac:dyDescent="0.2"/>
    <row r="685" x14ac:dyDescent="0.2"/>
    <row r="686" x14ac:dyDescent="0.2"/>
    <row r="687" x14ac:dyDescent="0.2"/>
    <row r="688" x14ac:dyDescent="0.2"/>
    <row r="689" x14ac:dyDescent="0.2"/>
    <row r="690" x14ac:dyDescent="0.2"/>
    <row r="691" x14ac:dyDescent="0.2"/>
    <row r="692" x14ac:dyDescent="0.2"/>
    <row r="693" x14ac:dyDescent="0.2"/>
    <row r="694" x14ac:dyDescent="0.2"/>
    <row r="695" x14ac:dyDescent="0.2"/>
    <row r="696" x14ac:dyDescent="0.2"/>
    <row r="697" x14ac:dyDescent="0.2"/>
    <row r="698" x14ac:dyDescent="0.2"/>
    <row r="699" x14ac:dyDescent="0.2"/>
    <row r="700" x14ac:dyDescent="0.2"/>
    <row r="701" x14ac:dyDescent="0.2"/>
    <row r="702" x14ac:dyDescent="0.2"/>
    <row r="703" x14ac:dyDescent="0.2"/>
    <row r="704" x14ac:dyDescent="0.2"/>
    <row r="705" x14ac:dyDescent="0.2"/>
    <row r="706" x14ac:dyDescent="0.2"/>
    <row r="707" x14ac:dyDescent="0.2"/>
    <row r="708" x14ac:dyDescent="0.2"/>
    <row r="709" x14ac:dyDescent="0.2"/>
    <row r="710" x14ac:dyDescent="0.2"/>
    <row r="711" x14ac:dyDescent="0.2"/>
    <row r="712" x14ac:dyDescent="0.2"/>
    <row r="713" x14ac:dyDescent="0.2"/>
    <row r="714" x14ac:dyDescent="0.2"/>
    <row r="715" x14ac:dyDescent="0.2"/>
    <row r="716" x14ac:dyDescent="0.2"/>
    <row r="717" x14ac:dyDescent="0.2"/>
    <row r="718" x14ac:dyDescent="0.2"/>
    <row r="719" x14ac:dyDescent="0.2"/>
    <row r="720" x14ac:dyDescent="0.2"/>
    <row r="721" x14ac:dyDescent="0.2"/>
    <row r="722" x14ac:dyDescent="0.2"/>
    <row r="723" x14ac:dyDescent="0.2"/>
    <row r="724" x14ac:dyDescent="0.2"/>
    <row r="725" x14ac:dyDescent="0.2"/>
    <row r="726" x14ac:dyDescent="0.2"/>
    <row r="727" x14ac:dyDescent="0.2"/>
    <row r="728" x14ac:dyDescent="0.2"/>
    <row r="729" x14ac:dyDescent="0.2"/>
    <row r="730" x14ac:dyDescent="0.2"/>
    <row r="731" x14ac:dyDescent="0.2"/>
    <row r="732" x14ac:dyDescent="0.2"/>
    <row r="733" x14ac:dyDescent="0.2"/>
    <row r="734" x14ac:dyDescent="0.2"/>
    <row r="735" x14ac:dyDescent="0.2"/>
    <row r="736" x14ac:dyDescent="0.2"/>
    <row r="737" x14ac:dyDescent="0.2"/>
    <row r="738" x14ac:dyDescent="0.2"/>
    <row r="739" x14ac:dyDescent="0.2"/>
    <row r="740" x14ac:dyDescent="0.2"/>
    <row r="741" x14ac:dyDescent="0.2"/>
    <row r="742" x14ac:dyDescent="0.2"/>
    <row r="743" x14ac:dyDescent="0.2"/>
    <row r="744" x14ac:dyDescent="0.2"/>
    <row r="745" x14ac:dyDescent="0.2"/>
    <row r="746" x14ac:dyDescent="0.2"/>
    <row r="747" x14ac:dyDescent="0.2"/>
    <row r="748" x14ac:dyDescent="0.2"/>
    <row r="749" x14ac:dyDescent="0.2"/>
    <row r="750" x14ac:dyDescent="0.2"/>
    <row r="751" x14ac:dyDescent="0.2"/>
    <row r="752" x14ac:dyDescent="0.2"/>
    <row r="753" x14ac:dyDescent="0.2"/>
    <row r="754" x14ac:dyDescent="0.2"/>
    <row r="755" x14ac:dyDescent="0.2"/>
    <row r="756" x14ac:dyDescent="0.2"/>
    <row r="757" x14ac:dyDescent="0.2"/>
    <row r="758" x14ac:dyDescent="0.2"/>
    <row r="759" x14ac:dyDescent="0.2"/>
    <row r="760" x14ac:dyDescent="0.2"/>
    <row r="761" x14ac:dyDescent="0.2"/>
    <row r="762" x14ac:dyDescent="0.2"/>
    <row r="763" x14ac:dyDescent="0.2"/>
    <row r="764" x14ac:dyDescent="0.2"/>
    <row r="765" x14ac:dyDescent="0.2"/>
    <row r="766" x14ac:dyDescent="0.2"/>
    <row r="767" x14ac:dyDescent="0.2"/>
    <row r="768" x14ac:dyDescent="0.2"/>
    <row r="769" x14ac:dyDescent="0.2"/>
    <row r="770" x14ac:dyDescent="0.2"/>
    <row r="771" x14ac:dyDescent="0.2"/>
    <row r="772" x14ac:dyDescent="0.2"/>
    <row r="773" x14ac:dyDescent="0.2"/>
    <row r="774" x14ac:dyDescent="0.2"/>
    <row r="775" x14ac:dyDescent="0.2"/>
    <row r="776" x14ac:dyDescent="0.2"/>
    <row r="777" x14ac:dyDescent="0.2"/>
    <row r="778" x14ac:dyDescent="0.2"/>
    <row r="779" x14ac:dyDescent="0.2"/>
    <row r="780" x14ac:dyDescent="0.2"/>
    <row r="781" x14ac:dyDescent="0.2"/>
    <row r="782" x14ac:dyDescent="0.2"/>
    <row r="783" x14ac:dyDescent="0.2"/>
    <row r="784" x14ac:dyDescent="0.2"/>
    <row r="785" x14ac:dyDescent="0.2"/>
    <row r="786" x14ac:dyDescent="0.2"/>
    <row r="787" x14ac:dyDescent="0.2"/>
    <row r="788" x14ac:dyDescent="0.2"/>
    <row r="789" x14ac:dyDescent="0.2"/>
    <row r="790" x14ac:dyDescent="0.2"/>
    <row r="791" x14ac:dyDescent="0.2"/>
    <row r="792" x14ac:dyDescent="0.2"/>
    <row r="793" x14ac:dyDescent="0.2"/>
    <row r="794" x14ac:dyDescent="0.2"/>
    <row r="795" x14ac:dyDescent="0.2"/>
    <row r="796" x14ac:dyDescent="0.2"/>
    <row r="797" x14ac:dyDescent="0.2"/>
    <row r="798" x14ac:dyDescent="0.2"/>
    <row r="799" x14ac:dyDescent="0.2"/>
    <row r="800" x14ac:dyDescent="0.2"/>
    <row r="801" x14ac:dyDescent="0.2"/>
    <row r="802" x14ac:dyDescent="0.2"/>
    <row r="803" x14ac:dyDescent="0.2"/>
    <row r="804" x14ac:dyDescent="0.2"/>
    <row r="805" x14ac:dyDescent="0.2"/>
    <row r="806" x14ac:dyDescent="0.2"/>
    <row r="807" x14ac:dyDescent="0.2"/>
    <row r="808" x14ac:dyDescent="0.2"/>
    <row r="809" x14ac:dyDescent="0.2"/>
    <row r="810" x14ac:dyDescent="0.2"/>
    <row r="811" x14ac:dyDescent="0.2"/>
    <row r="812" x14ac:dyDescent="0.2"/>
    <row r="813" x14ac:dyDescent="0.2"/>
    <row r="814" x14ac:dyDescent="0.2"/>
    <row r="815" x14ac:dyDescent="0.2"/>
    <row r="816" x14ac:dyDescent="0.2"/>
    <row r="817" x14ac:dyDescent="0.2"/>
    <row r="818" x14ac:dyDescent="0.2"/>
    <row r="819" x14ac:dyDescent="0.2"/>
    <row r="820" x14ac:dyDescent="0.2"/>
    <row r="821" x14ac:dyDescent="0.2"/>
    <row r="822" x14ac:dyDescent="0.2"/>
    <row r="823" x14ac:dyDescent="0.2"/>
    <row r="824" x14ac:dyDescent="0.2"/>
    <row r="825" x14ac:dyDescent="0.2"/>
    <row r="826" x14ac:dyDescent="0.2"/>
    <row r="827" x14ac:dyDescent="0.2"/>
    <row r="828" x14ac:dyDescent="0.2"/>
    <row r="829" x14ac:dyDescent="0.2"/>
    <row r="830" x14ac:dyDescent="0.2"/>
    <row r="831" x14ac:dyDescent="0.2"/>
    <row r="832" x14ac:dyDescent="0.2"/>
    <row r="833" x14ac:dyDescent="0.2"/>
    <row r="834" x14ac:dyDescent="0.2"/>
    <row r="835" x14ac:dyDescent="0.2"/>
    <row r="836" x14ac:dyDescent="0.2"/>
  </sheetData>
  <mergeCells count="8">
    <mergeCell ref="A2:B2"/>
    <mergeCell ref="L1:M1"/>
    <mergeCell ref="F5:K5"/>
    <mergeCell ref="F6:K6"/>
    <mergeCell ref="A3:B3"/>
    <mergeCell ref="A4:B4"/>
    <mergeCell ref="A5:B5"/>
    <mergeCell ref="A6:B6"/>
  </mergeCells>
  <dataValidations count="2">
    <dataValidation type="list" allowBlank="1" showInputMessage="1" showErrorMessage="1" sqref="C4" xr:uid="{00000000-0002-0000-0000-000000000000}">
      <formula1>"2016,2017,2018,2019,2020,2021,2022,2023,2024,2025,2026,2027,2028,2029,2030"</formula1>
    </dataValidation>
    <dataValidation type="list" allowBlank="1" showInputMessage="1" showErrorMessage="1" sqref="C5" xr:uid="{00000000-0002-0000-0000-000001000000}">
      <formula1>"1,2,3,4,5,6,7,8,9,10,11,12"</formula1>
    </dataValidation>
  </dataValidations>
  <pageMargins left="0.2" right="0.19" top="0.2" bottom="0.2" header="0.2" footer="0.2"/>
  <pageSetup paperSize="9" scale="71" orientation="landscape" r:id="rId1"/>
  <drawing r:id="rId2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>
    <tabColor rgb="FFFF0000"/>
  </sheetPr>
  <dimension ref="A1:L41"/>
  <sheetViews>
    <sheetView topLeftCell="A12" zoomScaleNormal="100" workbookViewId="0">
      <selection activeCell="J33" sqref="J33"/>
    </sheetView>
  </sheetViews>
  <sheetFormatPr baseColWidth="10" defaultRowHeight="12.75" x14ac:dyDescent="0.2"/>
  <cols>
    <col min="1" max="1" width="12.5703125" style="2" customWidth="1"/>
    <col min="2" max="2" width="13.42578125" style="2" customWidth="1"/>
    <col min="3" max="3" width="22.85546875" style="2" customWidth="1"/>
    <col min="4" max="4" width="16" style="2" customWidth="1"/>
    <col min="5" max="5" width="17.7109375" style="1" bestFit="1" customWidth="1"/>
    <col min="6" max="6" width="17.42578125" style="1" customWidth="1"/>
    <col min="7" max="7" width="20.140625" style="1" customWidth="1"/>
    <col min="8" max="8" width="21.42578125" style="2" customWidth="1"/>
    <col min="9" max="9" width="11.5703125" style="2" customWidth="1"/>
    <col min="10" max="10" width="14" style="3" customWidth="1"/>
    <col min="11" max="11" width="13.7109375" style="2" customWidth="1"/>
    <col min="12" max="12" width="15.140625" style="4" customWidth="1"/>
    <col min="13" max="253" width="11.42578125" style="2"/>
    <col min="254" max="254" width="12.28515625" style="2" bestFit="1" customWidth="1"/>
    <col min="255" max="255" width="11.140625" style="2" bestFit="1" customWidth="1"/>
    <col min="256" max="256" width="21" style="2" customWidth="1"/>
    <col min="257" max="257" width="16.85546875" style="2" bestFit="1" customWidth="1"/>
    <col min="258" max="258" width="13.5703125" style="2" customWidth="1"/>
    <col min="259" max="259" width="15" style="2" bestFit="1" customWidth="1"/>
    <col min="260" max="260" width="15.28515625" style="2" customWidth="1"/>
    <col min="261" max="261" width="29.28515625" style="2" customWidth="1"/>
    <col min="262" max="263" width="11.85546875" style="2" bestFit="1" customWidth="1"/>
    <col min="264" max="264" width="11.5703125" style="2" bestFit="1" customWidth="1"/>
    <col min="265" max="509" width="11.42578125" style="2"/>
    <col min="510" max="510" width="12.28515625" style="2" bestFit="1" customWidth="1"/>
    <col min="511" max="511" width="11.140625" style="2" bestFit="1" customWidth="1"/>
    <col min="512" max="512" width="21" style="2" customWidth="1"/>
    <col min="513" max="513" width="16.85546875" style="2" bestFit="1" customWidth="1"/>
    <col min="514" max="514" width="13.5703125" style="2" customWidth="1"/>
    <col min="515" max="515" width="15" style="2" bestFit="1" customWidth="1"/>
    <col min="516" max="516" width="15.28515625" style="2" customWidth="1"/>
    <col min="517" max="517" width="29.28515625" style="2" customWidth="1"/>
    <col min="518" max="519" width="11.85546875" style="2" bestFit="1" customWidth="1"/>
    <col min="520" max="520" width="11.5703125" style="2" bestFit="1" customWidth="1"/>
    <col min="521" max="765" width="11.42578125" style="2"/>
    <col min="766" max="766" width="12.28515625" style="2" bestFit="1" customWidth="1"/>
    <col min="767" max="767" width="11.140625" style="2" bestFit="1" customWidth="1"/>
    <col min="768" max="768" width="21" style="2" customWidth="1"/>
    <col min="769" max="769" width="16.85546875" style="2" bestFit="1" customWidth="1"/>
    <col min="770" max="770" width="13.5703125" style="2" customWidth="1"/>
    <col min="771" max="771" width="15" style="2" bestFit="1" customWidth="1"/>
    <col min="772" max="772" width="15.28515625" style="2" customWidth="1"/>
    <col min="773" max="773" width="29.28515625" style="2" customWidth="1"/>
    <col min="774" max="775" width="11.85546875" style="2" bestFit="1" customWidth="1"/>
    <col min="776" max="776" width="11.5703125" style="2" bestFit="1" customWidth="1"/>
    <col min="777" max="1021" width="11.42578125" style="2"/>
    <col min="1022" max="1022" width="12.28515625" style="2" bestFit="1" customWidth="1"/>
    <col min="1023" max="1023" width="11.140625" style="2" bestFit="1" customWidth="1"/>
    <col min="1024" max="1024" width="21" style="2" customWidth="1"/>
    <col min="1025" max="1025" width="16.85546875" style="2" bestFit="1" customWidth="1"/>
    <col min="1026" max="1026" width="13.5703125" style="2" customWidth="1"/>
    <col min="1027" max="1027" width="15" style="2" bestFit="1" customWidth="1"/>
    <col min="1028" max="1028" width="15.28515625" style="2" customWidth="1"/>
    <col min="1029" max="1029" width="29.28515625" style="2" customWidth="1"/>
    <col min="1030" max="1031" width="11.85546875" style="2" bestFit="1" customWidth="1"/>
    <col min="1032" max="1032" width="11.5703125" style="2" bestFit="1" customWidth="1"/>
    <col min="1033" max="1277" width="11.42578125" style="2"/>
    <col min="1278" max="1278" width="12.28515625" style="2" bestFit="1" customWidth="1"/>
    <col min="1279" max="1279" width="11.140625" style="2" bestFit="1" customWidth="1"/>
    <col min="1280" max="1280" width="21" style="2" customWidth="1"/>
    <col min="1281" max="1281" width="16.85546875" style="2" bestFit="1" customWidth="1"/>
    <col min="1282" max="1282" width="13.5703125" style="2" customWidth="1"/>
    <col min="1283" max="1283" width="15" style="2" bestFit="1" customWidth="1"/>
    <col min="1284" max="1284" width="15.28515625" style="2" customWidth="1"/>
    <col min="1285" max="1285" width="29.28515625" style="2" customWidth="1"/>
    <col min="1286" max="1287" width="11.85546875" style="2" bestFit="1" customWidth="1"/>
    <col min="1288" max="1288" width="11.5703125" style="2" bestFit="1" customWidth="1"/>
    <col min="1289" max="1533" width="11.42578125" style="2"/>
    <col min="1534" max="1534" width="12.28515625" style="2" bestFit="1" customWidth="1"/>
    <col min="1535" max="1535" width="11.140625" style="2" bestFit="1" customWidth="1"/>
    <col min="1536" max="1536" width="21" style="2" customWidth="1"/>
    <col min="1537" max="1537" width="16.85546875" style="2" bestFit="1" customWidth="1"/>
    <col min="1538" max="1538" width="13.5703125" style="2" customWidth="1"/>
    <col min="1539" max="1539" width="15" style="2" bestFit="1" customWidth="1"/>
    <col min="1540" max="1540" width="15.28515625" style="2" customWidth="1"/>
    <col min="1541" max="1541" width="29.28515625" style="2" customWidth="1"/>
    <col min="1542" max="1543" width="11.85546875" style="2" bestFit="1" customWidth="1"/>
    <col min="1544" max="1544" width="11.5703125" style="2" bestFit="1" customWidth="1"/>
    <col min="1545" max="1789" width="11.42578125" style="2"/>
    <col min="1790" max="1790" width="12.28515625" style="2" bestFit="1" customWidth="1"/>
    <col min="1791" max="1791" width="11.140625" style="2" bestFit="1" customWidth="1"/>
    <col min="1792" max="1792" width="21" style="2" customWidth="1"/>
    <col min="1793" max="1793" width="16.85546875" style="2" bestFit="1" customWidth="1"/>
    <col min="1794" max="1794" width="13.5703125" style="2" customWidth="1"/>
    <col min="1795" max="1795" width="15" style="2" bestFit="1" customWidth="1"/>
    <col min="1796" max="1796" width="15.28515625" style="2" customWidth="1"/>
    <col min="1797" max="1797" width="29.28515625" style="2" customWidth="1"/>
    <col min="1798" max="1799" width="11.85546875" style="2" bestFit="1" customWidth="1"/>
    <col min="1800" max="1800" width="11.5703125" style="2" bestFit="1" customWidth="1"/>
    <col min="1801" max="2045" width="11.42578125" style="2"/>
    <col min="2046" max="2046" width="12.28515625" style="2" bestFit="1" customWidth="1"/>
    <col min="2047" max="2047" width="11.140625" style="2" bestFit="1" customWidth="1"/>
    <col min="2048" max="2048" width="21" style="2" customWidth="1"/>
    <col min="2049" max="2049" width="16.85546875" style="2" bestFit="1" customWidth="1"/>
    <col min="2050" max="2050" width="13.5703125" style="2" customWidth="1"/>
    <col min="2051" max="2051" width="15" style="2" bestFit="1" customWidth="1"/>
    <col min="2052" max="2052" width="15.28515625" style="2" customWidth="1"/>
    <col min="2053" max="2053" width="29.28515625" style="2" customWidth="1"/>
    <col min="2054" max="2055" width="11.85546875" style="2" bestFit="1" customWidth="1"/>
    <col min="2056" max="2056" width="11.5703125" style="2" bestFit="1" customWidth="1"/>
    <col min="2057" max="2301" width="11.42578125" style="2"/>
    <col min="2302" max="2302" width="12.28515625" style="2" bestFit="1" customWidth="1"/>
    <col min="2303" max="2303" width="11.140625" style="2" bestFit="1" customWidth="1"/>
    <col min="2304" max="2304" width="21" style="2" customWidth="1"/>
    <col min="2305" max="2305" width="16.85546875" style="2" bestFit="1" customWidth="1"/>
    <col min="2306" max="2306" width="13.5703125" style="2" customWidth="1"/>
    <col min="2307" max="2307" width="15" style="2" bestFit="1" customWidth="1"/>
    <col min="2308" max="2308" width="15.28515625" style="2" customWidth="1"/>
    <col min="2309" max="2309" width="29.28515625" style="2" customWidth="1"/>
    <col min="2310" max="2311" width="11.85546875" style="2" bestFit="1" customWidth="1"/>
    <col min="2312" max="2312" width="11.5703125" style="2" bestFit="1" customWidth="1"/>
    <col min="2313" max="2557" width="11.42578125" style="2"/>
    <col min="2558" max="2558" width="12.28515625" style="2" bestFit="1" customWidth="1"/>
    <col min="2559" max="2559" width="11.140625" style="2" bestFit="1" customWidth="1"/>
    <col min="2560" max="2560" width="21" style="2" customWidth="1"/>
    <col min="2561" max="2561" width="16.85546875" style="2" bestFit="1" customWidth="1"/>
    <col min="2562" max="2562" width="13.5703125" style="2" customWidth="1"/>
    <col min="2563" max="2563" width="15" style="2" bestFit="1" customWidth="1"/>
    <col min="2564" max="2564" width="15.28515625" style="2" customWidth="1"/>
    <col min="2565" max="2565" width="29.28515625" style="2" customWidth="1"/>
    <col min="2566" max="2567" width="11.85546875" style="2" bestFit="1" customWidth="1"/>
    <col min="2568" max="2568" width="11.5703125" style="2" bestFit="1" customWidth="1"/>
    <col min="2569" max="2813" width="11.42578125" style="2"/>
    <col min="2814" max="2814" width="12.28515625" style="2" bestFit="1" customWidth="1"/>
    <col min="2815" max="2815" width="11.140625" style="2" bestFit="1" customWidth="1"/>
    <col min="2816" max="2816" width="21" style="2" customWidth="1"/>
    <col min="2817" max="2817" width="16.85546875" style="2" bestFit="1" customWidth="1"/>
    <col min="2818" max="2818" width="13.5703125" style="2" customWidth="1"/>
    <col min="2819" max="2819" width="15" style="2" bestFit="1" customWidth="1"/>
    <col min="2820" max="2820" width="15.28515625" style="2" customWidth="1"/>
    <col min="2821" max="2821" width="29.28515625" style="2" customWidth="1"/>
    <col min="2822" max="2823" width="11.85546875" style="2" bestFit="1" customWidth="1"/>
    <col min="2824" max="2824" width="11.5703125" style="2" bestFit="1" customWidth="1"/>
    <col min="2825" max="3069" width="11.42578125" style="2"/>
    <col min="3070" max="3070" width="12.28515625" style="2" bestFit="1" customWidth="1"/>
    <col min="3071" max="3071" width="11.140625" style="2" bestFit="1" customWidth="1"/>
    <col min="3072" max="3072" width="21" style="2" customWidth="1"/>
    <col min="3073" max="3073" width="16.85546875" style="2" bestFit="1" customWidth="1"/>
    <col min="3074" max="3074" width="13.5703125" style="2" customWidth="1"/>
    <col min="3075" max="3075" width="15" style="2" bestFit="1" customWidth="1"/>
    <col min="3076" max="3076" width="15.28515625" style="2" customWidth="1"/>
    <col min="3077" max="3077" width="29.28515625" style="2" customWidth="1"/>
    <col min="3078" max="3079" width="11.85546875" style="2" bestFit="1" customWidth="1"/>
    <col min="3080" max="3080" width="11.5703125" style="2" bestFit="1" customWidth="1"/>
    <col min="3081" max="3325" width="11.42578125" style="2"/>
    <col min="3326" max="3326" width="12.28515625" style="2" bestFit="1" customWidth="1"/>
    <col min="3327" max="3327" width="11.140625" style="2" bestFit="1" customWidth="1"/>
    <col min="3328" max="3328" width="21" style="2" customWidth="1"/>
    <col min="3329" max="3329" width="16.85546875" style="2" bestFit="1" customWidth="1"/>
    <col min="3330" max="3330" width="13.5703125" style="2" customWidth="1"/>
    <col min="3331" max="3331" width="15" style="2" bestFit="1" customWidth="1"/>
    <col min="3332" max="3332" width="15.28515625" style="2" customWidth="1"/>
    <col min="3333" max="3333" width="29.28515625" style="2" customWidth="1"/>
    <col min="3334" max="3335" width="11.85546875" style="2" bestFit="1" customWidth="1"/>
    <col min="3336" max="3336" width="11.5703125" style="2" bestFit="1" customWidth="1"/>
    <col min="3337" max="3581" width="11.42578125" style="2"/>
    <col min="3582" max="3582" width="12.28515625" style="2" bestFit="1" customWidth="1"/>
    <col min="3583" max="3583" width="11.140625" style="2" bestFit="1" customWidth="1"/>
    <col min="3584" max="3584" width="21" style="2" customWidth="1"/>
    <col min="3585" max="3585" width="16.85546875" style="2" bestFit="1" customWidth="1"/>
    <col min="3586" max="3586" width="13.5703125" style="2" customWidth="1"/>
    <col min="3587" max="3587" width="15" style="2" bestFit="1" customWidth="1"/>
    <col min="3588" max="3588" width="15.28515625" style="2" customWidth="1"/>
    <col min="3589" max="3589" width="29.28515625" style="2" customWidth="1"/>
    <col min="3590" max="3591" width="11.85546875" style="2" bestFit="1" customWidth="1"/>
    <col min="3592" max="3592" width="11.5703125" style="2" bestFit="1" customWidth="1"/>
    <col min="3593" max="3837" width="11.42578125" style="2"/>
    <col min="3838" max="3838" width="12.28515625" style="2" bestFit="1" customWidth="1"/>
    <col min="3839" max="3839" width="11.140625" style="2" bestFit="1" customWidth="1"/>
    <col min="3840" max="3840" width="21" style="2" customWidth="1"/>
    <col min="3841" max="3841" width="16.85546875" style="2" bestFit="1" customWidth="1"/>
    <col min="3842" max="3842" width="13.5703125" style="2" customWidth="1"/>
    <col min="3843" max="3843" width="15" style="2" bestFit="1" customWidth="1"/>
    <col min="3844" max="3844" width="15.28515625" style="2" customWidth="1"/>
    <col min="3845" max="3845" width="29.28515625" style="2" customWidth="1"/>
    <col min="3846" max="3847" width="11.85546875" style="2" bestFit="1" customWidth="1"/>
    <col min="3848" max="3848" width="11.5703125" style="2" bestFit="1" customWidth="1"/>
    <col min="3849" max="4093" width="11.42578125" style="2"/>
    <col min="4094" max="4094" width="12.28515625" style="2" bestFit="1" customWidth="1"/>
    <col min="4095" max="4095" width="11.140625" style="2" bestFit="1" customWidth="1"/>
    <col min="4096" max="4096" width="21" style="2" customWidth="1"/>
    <col min="4097" max="4097" width="16.85546875" style="2" bestFit="1" customWidth="1"/>
    <col min="4098" max="4098" width="13.5703125" style="2" customWidth="1"/>
    <col min="4099" max="4099" width="15" style="2" bestFit="1" customWidth="1"/>
    <col min="4100" max="4100" width="15.28515625" style="2" customWidth="1"/>
    <col min="4101" max="4101" width="29.28515625" style="2" customWidth="1"/>
    <col min="4102" max="4103" width="11.85546875" style="2" bestFit="1" customWidth="1"/>
    <col min="4104" max="4104" width="11.5703125" style="2" bestFit="1" customWidth="1"/>
    <col min="4105" max="4349" width="11.42578125" style="2"/>
    <col min="4350" max="4350" width="12.28515625" style="2" bestFit="1" customWidth="1"/>
    <col min="4351" max="4351" width="11.140625" style="2" bestFit="1" customWidth="1"/>
    <col min="4352" max="4352" width="21" style="2" customWidth="1"/>
    <col min="4353" max="4353" width="16.85546875" style="2" bestFit="1" customWidth="1"/>
    <col min="4354" max="4354" width="13.5703125" style="2" customWidth="1"/>
    <col min="4355" max="4355" width="15" style="2" bestFit="1" customWidth="1"/>
    <col min="4356" max="4356" width="15.28515625" style="2" customWidth="1"/>
    <col min="4357" max="4357" width="29.28515625" style="2" customWidth="1"/>
    <col min="4358" max="4359" width="11.85546875" style="2" bestFit="1" customWidth="1"/>
    <col min="4360" max="4360" width="11.5703125" style="2" bestFit="1" customWidth="1"/>
    <col min="4361" max="4605" width="11.42578125" style="2"/>
    <col min="4606" max="4606" width="12.28515625" style="2" bestFit="1" customWidth="1"/>
    <col min="4607" max="4607" width="11.140625" style="2" bestFit="1" customWidth="1"/>
    <col min="4608" max="4608" width="21" style="2" customWidth="1"/>
    <col min="4609" max="4609" width="16.85546875" style="2" bestFit="1" customWidth="1"/>
    <col min="4610" max="4610" width="13.5703125" style="2" customWidth="1"/>
    <col min="4611" max="4611" width="15" style="2" bestFit="1" customWidth="1"/>
    <col min="4612" max="4612" width="15.28515625" style="2" customWidth="1"/>
    <col min="4613" max="4613" width="29.28515625" style="2" customWidth="1"/>
    <col min="4614" max="4615" width="11.85546875" style="2" bestFit="1" customWidth="1"/>
    <col min="4616" max="4616" width="11.5703125" style="2" bestFit="1" customWidth="1"/>
    <col min="4617" max="4861" width="11.42578125" style="2"/>
    <col min="4862" max="4862" width="12.28515625" style="2" bestFit="1" customWidth="1"/>
    <col min="4863" max="4863" width="11.140625" style="2" bestFit="1" customWidth="1"/>
    <col min="4864" max="4864" width="21" style="2" customWidth="1"/>
    <col min="4865" max="4865" width="16.85546875" style="2" bestFit="1" customWidth="1"/>
    <col min="4866" max="4866" width="13.5703125" style="2" customWidth="1"/>
    <col min="4867" max="4867" width="15" style="2" bestFit="1" customWidth="1"/>
    <col min="4868" max="4868" width="15.28515625" style="2" customWidth="1"/>
    <col min="4869" max="4869" width="29.28515625" style="2" customWidth="1"/>
    <col min="4870" max="4871" width="11.85546875" style="2" bestFit="1" customWidth="1"/>
    <col min="4872" max="4872" width="11.5703125" style="2" bestFit="1" customWidth="1"/>
    <col min="4873" max="5117" width="11.42578125" style="2"/>
    <col min="5118" max="5118" width="12.28515625" style="2" bestFit="1" customWidth="1"/>
    <col min="5119" max="5119" width="11.140625" style="2" bestFit="1" customWidth="1"/>
    <col min="5120" max="5120" width="21" style="2" customWidth="1"/>
    <col min="5121" max="5121" width="16.85546875" style="2" bestFit="1" customWidth="1"/>
    <col min="5122" max="5122" width="13.5703125" style="2" customWidth="1"/>
    <col min="5123" max="5123" width="15" style="2" bestFit="1" customWidth="1"/>
    <col min="5124" max="5124" width="15.28515625" style="2" customWidth="1"/>
    <col min="5125" max="5125" width="29.28515625" style="2" customWidth="1"/>
    <col min="5126" max="5127" width="11.85546875" style="2" bestFit="1" customWidth="1"/>
    <col min="5128" max="5128" width="11.5703125" style="2" bestFit="1" customWidth="1"/>
    <col min="5129" max="5373" width="11.42578125" style="2"/>
    <col min="5374" max="5374" width="12.28515625" style="2" bestFit="1" customWidth="1"/>
    <col min="5375" max="5375" width="11.140625" style="2" bestFit="1" customWidth="1"/>
    <col min="5376" max="5376" width="21" style="2" customWidth="1"/>
    <col min="5377" max="5377" width="16.85546875" style="2" bestFit="1" customWidth="1"/>
    <col min="5378" max="5378" width="13.5703125" style="2" customWidth="1"/>
    <col min="5379" max="5379" width="15" style="2" bestFit="1" customWidth="1"/>
    <col min="5380" max="5380" width="15.28515625" style="2" customWidth="1"/>
    <col min="5381" max="5381" width="29.28515625" style="2" customWidth="1"/>
    <col min="5382" max="5383" width="11.85546875" style="2" bestFit="1" customWidth="1"/>
    <col min="5384" max="5384" width="11.5703125" style="2" bestFit="1" customWidth="1"/>
    <col min="5385" max="5629" width="11.42578125" style="2"/>
    <col min="5630" max="5630" width="12.28515625" style="2" bestFit="1" customWidth="1"/>
    <col min="5631" max="5631" width="11.140625" style="2" bestFit="1" customWidth="1"/>
    <col min="5632" max="5632" width="21" style="2" customWidth="1"/>
    <col min="5633" max="5633" width="16.85546875" style="2" bestFit="1" customWidth="1"/>
    <col min="5634" max="5634" width="13.5703125" style="2" customWidth="1"/>
    <col min="5635" max="5635" width="15" style="2" bestFit="1" customWidth="1"/>
    <col min="5636" max="5636" width="15.28515625" style="2" customWidth="1"/>
    <col min="5637" max="5637" width="29.28515625" style="2" customWidth="1"/>
    <col min="5638" max="5639" width="11.85546875" style="2" bestFit="1" customWidth="1"/>
    <col min="5640" max="5640" width="11.5703125" style="2" bestFit="1" customWidth="1"/>
    <col min="5641" max="5885" width="11.42578125" style="2"/>
    <col min="5886" max="5886" width="12.28515625" style="2" bestFit="1" customWidth="1"/>
    <col min="5887" max="5887" width="11.140625" style="2" bestFit="1" customWidth="1"/>
    <col min="5888" max="5888" width="21" style="2" customWidth="1"/>
    <col min="5889" max="5889" width="16.85546875" style="2" bestFit="1" customWidth="1"/>
    <col min="5890" max="5890" width="13.5703125" style="2" customWidth="1"/>
    <col min="5891" max="5891" width="15" style="2" bestFit="1" customWidth="1"/>
    <col min="5892" max="5892" width="15.28515625" style="2" customWidth="1"/>
    <col min="5893" max="5893" width="29.28515625" style="2" customWidth="1"/>
    <col min="5894" max="5895" width="11.85546875" style="2" bestFit="1" customWidth="1"/>
    <col min="5896" max="5896" width="11.5703125" style="2" bestFit="1" customWidth="1"/>
    <col min="5897" max="6141" width="11.42578125" style="2"/>
    <col min="6142" max="6142" width="12.28515625" style="2" bestFit="1" customWidth="1"/>
    <col min="6143" max="6143" width="11.140625" style="2" bestFit="1" customWidth="1"/>
    <col min="6144" max="6144" width="21" style="2" customWidth="1"/>
    <col min="6145" max="6145" width="16.85546875" style="2" bestFit="1" customWidth="1"/>
    <col min="6146" max="6146" width="13.5703125" style="2" customWidth="1"/>
    <col min="6147" max="6147" width="15" style="2" bestFit="1" customWidth="1"/>
    <col min="6148" max="6148" width="15.28515625" style="2" customWidth="1"/>
    <col min="6149" max="6149" width="29.28515625" style="2" customWidth="1"/>
    <col min="6150" max="6151" width="11.85546875" style="2" bestFit="1" customWidth="1"/>
    <col min="6152" max="6152" width="11.5703125" style="2" bestFit="1" customWidth="1"/>
    <col min="6153" max="6397" width="11.42578125" style="2"/>
    <col min="6398" max="6398" width="12.28515625" style="2" bestFit="1" customWidth="1"/>
    <col min="6399" max="6399" width="11.140625" style="2" bestFit="1" customWidth="1"/>
    <col min="6400" max="6400" width="21" style="2" customWidth="1"/>
    <col min="6401" max="6401" width="16.85546875" style="2" bestFit="1" customWidth="1"/>
    <col min="6402" max="6402" width="13.5703125" style="2" customWidth="1"/>
    <col min="6403" max="6403" width="15" style="2" bestFit="1" customWidth="1"/>
    <col min="6404" max="6404" width="15.28515625" style="2" customWidth="1"/>
    <col min="6405" max="6405" width="29.28515625" style="2" customWidth="1"/>
    <col min="6406" max="6407" width="11.85546875" style="2" bestFit="1" customWidth="1"/>
    <col min="6408" max="6408" width="11.5703125" style="2" bestFit="1" customWidth="1"/>
    <col min="6409" max="6653" width="11.42578125" style="2"/>
    <col min="6654" max="6654" width="12.28515625" style="2" bestFit="1" customWidth="1"/>
    <col min="6655" max="6655" width="11.140625" style="2" bestFit="1" customWidth="1"/>
    <col min="6656" max="6656" width="21" style="2" customWidth="1"/>
    <col min="6657" max="6657" width="16.85546875" style="2" bestFit="1" customWidth="1"/>
    <col min="6658" max="6658" width="13.5703125" style="2" customWidth="1"/>
    <col min="6659" max="6659" width="15" style="2" bestFit="1" customWidth="1"/>
    <col min="6660" max="6660" width="15.28515625" style="2" customWidth="1"/>
    <col min="6661" max="6661" width="29.28515625" style="2" customWidth="1"/>
    <col min="6662" max="6663" width="11.85546875" style="2" bestFit="1" customWidth="1"/>
    <col min="6664" max="6664" width="11.5703125" style="2" bestFit="1" customWidth="1"/>
    <col min="6665" max="6909" width="11.42578125" style="2"/>
    <col min="6910" max="6910" width="12.28515625" style="2" bestFit="1" customWidth="1"/>
    <col min="6911" max="6911" width="11.140625" style="2" bestFit="1" customWidth="1"/>
    <col min="6912" max="6912" width="21" style="2" customWidth="1"/>
    <col min="6913" max="6913" width="16.85546875" style="2" bestFit="1" customWidth="1"/>
    <col min="6914" max="6914" width="13.5703125" style="2" customWidth="1"/>
    <col min="6915" max="6915" width="15" style="2" bestFit="1" customWidth="1"/>
    <col min="6916" max="6916" width="15.28515625" style="2" customWidth="1"/>
    <col min="6917" max="6917" width="29.28515625" style="2" customWidth="1"/>
    <col min="6918" max="6919" width="11.85546875" style="2" bestFit="1" customWidth="1"/>
    <col min="6920" max="6920" width="11.5703125" style="2" bestFit="1" customWidth="1"/>
    <col min="6921" max="7165" width="11.42578125" style="2"/>
    <col min="7166" max="7166" width="12.28515625" style="2" bestFit="1" customWidth="1"/>
    <col min="7167" max="7167" width="11.140625" style="2" bestFit="1" customWidth="1"/>
    <col min="7168" max="7168" width="21" style="2" customWidth="1"/>
    <col min="7169" max="7169" width="16.85546875" style="2" bestFit="1" customWidth="1"/>
    <col min="7170" max="7170" width="13.5703125" style="2" customWidth="1"/>
    <col min="7171" max="7171" width="15" style="2" bestFit="1" customWidth="1"/>
    <col min="7172" max="7172" width="15.28515625" style="2" customWidth="1"/>
    <col min="7173" max="7173" width="29.28515625" style="2" customWidth="1"/>
    <col min="7174" max="7175" width="11.85546875" style="2" bestFit="1" customWidth="1"/>
    <col min="7176" max="7176" width="11.5703125" style="2" bestFit="1" customWidth="1"/>
    <col min="7177" max="7421" width="11.42578125" style="2"/>
    <col min="7422" max="7422" width="12.28515625" style="2" bestFit="1" customWidth="1"/>
    <col min="7423" max="7423" width="11.140625" style="2" bestFit="1" customWidth="1"/>
    <col min="7424" max="7424" width="21" style="2" customWidth="1"/>
    <col min="7425" max="7425" width="16.85546875" style="2" bestFit="1" customWidth="1"/>
    <col min="7426" max="7426" width="13.5703125" style="2" customWidth="1"/>
    <col min="7427" max="7427" width="15" style="2" bestFit="1" customWidth="1"/>
    <col min="7428" max="7428" width="15.28515625" style="2" customWidth="1"/>
    <col min="7429" max="7429" width="29.28515625" style="2" customWidth="1"/>
    <col min="7430" max="7431" width="11.85546875" style="2" bestFit="1" customWidth="1"/>
    <col min="7432" max="7432" width="11.5703125" style="2" bestFit="1" customWidth="1"/>
    <col min="7433" max="7677" width="11.42578125" style="2"/>
    <col min="7678" max="7678" width="12.28515625" style="2" bestFit="1" customWidth="1"/>
    <col min="7679" max="7679" width="11.140625" style="2" bestFit="1" customWidth="1"/>
    <col min="7680" max="7680" width="21" style="2" customWidth="1"/>
    <col min="7681" max="7681" width="16.85546875" style="2" bestFit="1" customWidth="1"/>
    <col min="7682" max="7682" width="13.5703125" style="2" customWidth="1"/>
    <col min="7683" max="7683" width="15" style="2" bestFit="1" customWidth="1"/>
    <col min="7684" max="7684" width="15.28515625" style="2" customWidth="1"/>
    <col min="7685" max="7685" width="29.28515625" style="2" customWidth="1"/>
    <col min="7686" max="7687" width="11.85546875" style="2" bestFit="1" customWidth="1"/>
    <col min="7688" max="7688" width="11.5703125" style="2" bestFit="1" customWidth="1"/>
    <col min="7689" max="7933" width="11.42578125" style="2"/>
    <col min="7934" max="7934" width="12.28515625" style="2" bestFit="1" customWidth="1"/>
    <col min="7935" max="7935" width="11.140625" style="2" bestFit="1" customWidth="1"/>
    <col min="7936" max="7936" width="21" style="2" customWidth="1"/>
    <col min="7937" max="7937" width="16.85546875" style="2" bestFit="1" customWidth="1"/>
    <col min="7938" max="7938" width="13.5703125" style="2" customWidth="1"/>
    <col min="7939" max="7939" width="15" style="2" bestFit="1" customWidth="1"/>
    <col min="7940" max="7940" width="15.28515625" style="2" customWidth="1"/>
    <col min="7941" max="7941" width="29.28515625" style="2" customWidth="1"/>
    <col min="7942" max="7943" width="11.85546875" style="2" bestFit="1" customWidth="1"/>
    <col min="7944" max="7944" width="11.5703125" style="2" bestFit="1" customWidth="1"/>
    <col min="7945" max="8189" width="11.42578125" style="2"/>
    <col min="8190" max="8190" width="12.28515625" style="2" bestFit="1" customWidth="1"/>
    <col min="8191" max="8191" width="11.140625" style="2" bestFit="1" customWidth="1"/>
    <col min="8192" max="8192" width="21" style="2" customWidth="1"/>
    <col min="8193" max="8193" width="16.85546875" style="2" bestFit="1" customWidth="1"/>
    <col min="8194" max="8194" width="13.5703125" style="2" customWidth="1"/>
    <col min="8195" max="8195" width="15" style="2" bestFit="1" customWidth="1"/>
    <col min="8196" max="8196" width="15.28515625" style="2" customWidth="1"/>
    <col min="8197" max="8197" width="29.28515625" style="2" customWidth="1"/>
    <col min="8198" max="8199" width="11.85546875" style="2" bestFit="1" customWidth="1"/>
    <col min="8200" max="8200" width="11.5703125" style="2" bestFit="1" customWidth="1"/>
    <col min="8201" max="8445" width="11.42578125" style="2"/>
    <col min="8446" max="8446" width="12.28515625" style="2" bestFit="1" customWidth="1"/>
    <col min="8447" max="8447" width="11.140625" style="2" bestFit="1" customWidth="1"/>
    <col min="8448" max="8448" width="21" style="2" customWidth="1"/>
    <col min="8449" max="8449" width="16.85546875" style="2" bestFit="1" customWidth="1"/>
    <col min="8450" max="8450" width="13.5703125" style="2" customWidth="1"/>
    <col min="8451" max="8451" width="15" style="2" bestFit="1" customWidth="1"/>
    <col min="8452" max="8452" width="15.28515625" style="2" customWidth="1"/>
    <col min="8453" max="8453" width="29.28515625" style="2" customWidth="1"/>
    <col min="8454" max="8455" width="11.85546875" style="2" bestFit="1" customWidth="1"/>
    <col min="8456" max="8456" width="11.5703125" style="2" bestFit="1" customWidth="1"/>
    <col min="8457" max="8701" width="11.42578125" style="2"/>
    <col min="8702" max="8702" width="12.28515625" style="2" bestFit="1" customWidth="1"/>
    <col min="8703" max="8703" width="11.140625" style="2" bestFit="1" customWidth="1"/>
    <col min="8704" max="8704" width="21" style="2" customWidth="1"/>
    <col min="8705" max="8705" width="16.85546875" style="2" bestFit="1" customWidth="1"/>
    <col min="8706" max="8706" width="13.5703125" style="2" customWidth="1"/>
    <col min="8707" max="8707" width="15" style="2" bestFit="1" customWidth="1"/>
    <col min="8708" max="8708" width="15.28515625" style="2" customWidth="1"/>
    <col min="8709" max="8709" width="29.28515625" style="2" customWidth="1"/>
    <col min="8710" max="8711" width="11.85546875" style="2" bestFit="1" customWidth="1"/>
    <col min="8712" max="8712" width="11.5703125" style="2" bestFit="1" customWidth="1"/>
    <col min="8713" max="8957" width="11.42578125" style="2"/>
    <col min="8958" max="8958" width="12.28515625" style="2" bestFit="1" customWidth="1"/>
    <col min="8959" max="8959" width="11.140625" style="2" bestFit="1" customWidth="1"/>
    <col min="8960" max="8960" width="21" style="2" customWidth="1"/>
    <col min="8961" max="8961" width="16.85546875" style="2" bestFit="1" customWidth="1"/>
    <col min="8962" max="8962" width="13.5703125" style="2" customWidth="1"/>
    <col min="8963" max="8963" width="15" style="2" bestFit="1" customWidth="1"/>
    <col min="8964" max="8964" width="15.28515625" style="2" customWidth="1"/>
    <col min="8965" max="8965" width="29.28515625" style="2" customWidth="1"/>
    <col min="8966" max="8967" width="11.85546875" style="2" bestFit="1" customWidth="1"/>
    <col min="8968" max="8968" width="11.5703125" style="2" bestFit="1" customWidth="1"/>
    <col min="8969" max="9213" width="11.42578125" style="2"/>
    <col min="9214" max="9214" width="12.28515625" style="2" bestFit="1" customWidth="1"/>
    <col min="9215" max="9215" width="11.140625" style="2" bestFit="1" customWidth="1"/>
    <col min="9216" max="9216" width="21" style="2" customWidth="1"/>
    <col min="9217" max="9217" width="16.85546875" style="2" bestFit="1" customWidth="1"/>
    <col min="9218" max="9218" width="13.5703125" style="2" customWidth="1"/>
    <col min="9219" max="9219" width="15" style="2" bestFit="1" customWidth="1"/>
    <col min="9220" max="9220" width="15.28515625" style="2" customWidth="1"/>
    <col min="9221" max="9221" width="29.28515625" style="2" customWidth="1"/>
    <col min="9222" max="9223" width="11.85546875" style="2" bestFit="1" customWidth="1"/>
    <col min="9224" max="9224" width="11.5703125" style="2" bestFit="1" customWidth="1"/>
    <col min="9225" max="9469" width="11.42578125" style="2"/>
    <col min="9470" max="9470" width="12.28515625" style="2" bestFit="1" customWidth="1"/>
    <col min="9471" max="9471" width="11.140625" style="2" bestFit="1" customWidth="1"/>
    <col min="9472" max="9472" width="21" style="2" customWidth="1"/>
    <col min="9473" max="9473" width="16.85546875" style="2" bestFit="1" customWidth="1"/>
    <col min="9474" max="9474" width="13.5703125" style="2" customWidth="1"/>
    <col min="9475" max="9475" width="15" style="2" bestFit="1" customWidth="1"/>
    <col min="9476" max="9476" width="15.28515625" style="2" customWidth="1"/>
    <col min="9477" max="9477" width="29.28515625" style="2" customWidth="1"/>
    <col min="9478" max="9479" width="11.85546875" style="2" bestFit="1" customWidth="1"/>
    <col min="9480" max="9480" width="11.5703125" style="2" bestFit="1" customWidth="1"/>
    <col min="9481" max="9725" width="11.42578125" style="2"/>
    <col min="9726" max="9726" width="12.28515625" style="2" bestFit="1" customWidth="1"/>
    <col min="9727" max="9727" width="11.140625" style="2" bestFit="1" customWidth="1"/>
    <col min="9728" max="9728" width="21" style="2" customWidth="1"/>
    <col min="9729" max="9729" width="16.85546875" style="2" bestFit="1" customWidth="1"/>
    <col min="9730" max="9730" width="13.5703125" style="2" customWidth="1"/>
    <col min="9731" max="9731" width="15" style="2" bestFit="1" customWidth="1"/>
    <col min="9732" max="9732" width="15.28515625" style="2" customWidth="1"/>
    <col min="9733" max="9733" width="29.28515625" style="2" customWidth="1"/>
    <col min="9734" max="9735" width="11.85546875" style="2" bestFit="1" customWidth="1"/>
    <col min="9736" max="9736" width="11.5703125" style="2" bestFit="1" customWidth="1"/>
    <col min="9737" max="9981" width="11.42578125" style="2"/>
    <col min="9982" max="9982" width="12.28515625" style="2" bestFit="1" customWidth="1"/>
    <col min="9983" max="9983" width="11.140625" style="2" bestFit="1" customWidth="1"/>
    <col min="9984" max="9984" width="21" style="2" customWidth="1"/>
    <col min="9985" max="9985" width="16.85546875" style="2" bestFit="1" customWidth="1"/>
    <col min="9986" max="9986" width="13.5703125" style="2" customWidth="1"/>
    <col min="9987" max="9987" width="15" style="2" bestFit="1" customWidth="1"/>
    <col min="9988" max="9988" width="15.28515625" style="2" customWidth="1"/>
    <col min="9989" max="9989" width="29.28515625" style="2" customWidth="1"/>
    <col min="9990" max="9991" width="11.85546875" style="2" bestFit="1" customWidth="1"/>
    <col min="9992" max="9992" width="11.5703125" style="2" bestFit="1" customWidth="1"/>
    <col min="9993" max="10237" width="11.42578125" style="2"/>
    <col min="10238" max="10238" width="12.28515625" style="2" bestFit="1" customWidth="1"/>
    <col min="10239" max="10239" width="11.140625" style="2" bestFit="1" customWidth="1"/>
    <col min="10240" max="10240" width="21" style="2" customWidth="1"/>
    <col min="10241" max="10241" width="16.85546875" style="2" bestFit="1" customWidth="1"/>
    <col min="10242" max="10242" width="13.5703125" style="2" customWidth="1"/>
    <col min="10243" max="10243" width="15" style="2" bestFit="1" customWidth="1"/>
    <col min="10244" max="10244" width="15.28515625" style="2" customWidth="1"/>
    <col min="10245" max="10245" width="29.28515625" style="2" customWidth="1"/>
    <col min="10246" max="10247" width="11.85546875" style="2" bestFit="1" customWidth="1"/>
    <col min="10248" max="10248" width="11.5703125" style="2" bestFit="1" customWidth="1"/>
    <col min="10249" max="10493" width="11.42578125" style="2"/>
    <col min="10494" max="10494" width="12.28515625" style="2" bestFit="1" customWidth="1"/>
    <col min="10495" max="10495" width="11.140625" style="2" bestFit="1" customWidth="1"/>
    <col min="10496" max="10496" width="21" style="2" customWidth="1"/>
    <col min="10497" max="10497" width="16.85546875" style="2" bestFit="1" customWidth="1"/>
    <col min="10498" max="10498" width="13.5703125" style="2" customWidth="1"/>
    <col min="10499" max="10499" width="15" style="2" bestFit="1" customWidth="1"/>
    <col min="10500" max="10500" width="15.28515625" style="2" customWidth="1"/>
    <col min="10501" max="10501" width="29.28515625" style="2" customWidth="1"/>
    <col min="10502" max="10503" width="11.85546875" style="2" bestFit="1" customWidth="1"/>
    <col min="10504" max="10504" width="11.5703125" style="2" bestFit="1" customWidth="1"/>
    <col min="10505" max="10749" width="11.42578125" style="2"/>
    <col min="10750" max="10750" width="12.28515625" style="2" bestFit="1" customWidth="1"/>
    <col min="10751" max="10751" width="11.140625" style="2" bestFit="1" customWidth="1"/>
    <col min="10752" max="10752" width="21" style="2" customWidth="1"/>
    <col min="10753" max="10753" width="16.85546875" style="2" bestFit="1" customWidth="1"/>
    <col min="10754" max="10754" width="13.5703125" style="2" customWidth="1"/>
    <col min="10755" max="10755" width="15" style="2" bestFit="1" customWidth="1"/>
    <col min="10756" max="10756" width="15.28515625" style="2" customWidth="1"/>
    <col min="10757" max="10757" width="29.28515625" style="2" customWidth="1"/>
    <col min="10758" max="10759" width="11.85546875" style="2" bestFit="1" customWidth="1"/>
    <col min="10760" max="10760" width="11.5703125" style="2" bestFit="1" customWidth="1"/>
    <col min="10761" max="11005" width="11.42578125" style="2"/>
    <col min="11006" max="11006" width="12.28515625" style="2" bestFit="1" customWidth="1"/>
    <col min="11007" max="11007" width="11.140625" style="2" bestFit="1" customWidth="1"/>
    <col min="11008" max="11008" width="21" style="2" customWidth="1"/>
    <col min="11009" max="11009" width="16.85546875" style="2" bestFit="1" customWidth="1"/>
    <col min="11010" max="11010" width="13.5703125" style="2" customWidth="1"/>
    <col min="11011" max="11011" width="15" style="2" bestFit="1" customWidth="1"/>
    <col min="11012" max="11012" width="15.28515625" style="2" customWidth="1"/>
    <col min="11013" max="11013" width="29.28515625" style="2" customWidth="1"/>
    <col min="11014" max="11015" width="11.85546875" style="2" bestFit="1" customWidth="1"/>
    <col min="11016" max="11016" width="11.5703125" style="2" bestFit="1" customWidth="1"/>
    <col min="11017" max="11261" width="11.42578125" style="2"/>
    <col min="11262" max="11262" width="12.28515625" style="2" bestFit="1" customWidth="1"/>
    <col min="11263" max="11263" width="11.140625" style="2" bestFit="1" customWidth="1"/>
    <col min="11264" max="11264" width="21" style="2" customWidth="1"/>
    <col min="11265" max="11265" width="16.85546875" style="2" bestFit="1" customWidth="1"/>
    <col min="11266" max="11266" width="13.5703125" style="2" customWidth="1"/>
    <col min="11267" max="11267" width="15" style="2" bestFit="1" customWidth="1"/>
    <col min="11268" max="11268" width="15.28515625" style="2" customWidth="1"/>
    <col min="11269" max="11269" width="29.28515625" style="2" customWidth="1"/>
    <col min="11270" max="11271" width="11.85546875" style="2" bestFit="1" customWidth="1"/>
    <col min="11272" max="11272" width="11.5703125" style="2" bestFit="1" customWidth="1"/>
    <col min="11273" max="11517" width="11.42578125" style="2"/>
    <col min="11518" max="11518" width="12.28515625" style="2" bestFit="1" customWidth="1"/>
    <col min="11519" max="11519" width="11.140625" style="2" bestFit="1" customWidth="1"/>
    <col min="11520" max="11520" width="21" style="2" customWidth="1"/>
    <col min="11521" max="11521" width="16.85546875" style="2" bestFit="1" customWidth="1"/>
    <col min="11522" max="11522" width="13.5703125" style="2" customWidth="1"/>
    <col min="11523" max="11523" width="15" style="2" bestFit="1" customWidth="1"/>
    <col min="11524" max="11524" width="15.28515625" style="2" customWidth="1"/>
    <col min="11525" max="11525" width="29.28515625" style="2" customWidth="1"/>
    <col min="11526" max="11527" width="11.85546875" style="2" bestFit="1" customWidth="1"/>
    <col min="11528" max="11528" width="11.5703125" style="2" bestFit="1" customWidth="1"/>
    <col min="11529" max="11773" width="11.42578125" style="2"/>
    <col min="11774" max="11774" width="12.28515625" style="2" bestFit="1" customWidth="1"/>
    <col min="11775" max="11775" width="11.140625" style="2" bestFit="1" customWidth="1"/>
    <col min="11776" max="11776" width="21" style="2" customWidth="1"/>
    <col min="11777" max="11777" width="16.85546875" style="2" bestFit="1" customWidth="1"/>
    <col min="11778" max="11778" width="13.5703125" style="2" customWidth="1"/>
    <col min="11779" max="11779" width="15" style="2" bestFit="1" customWidth="1"/>
    <col min="11780" max="11780" width="15.28515625" style="2" customWidth="1"/>
    <col min="11781" max="11781" width="29.28515625" style="2" customWidth="1"/>
    <col min="11782" max="11783" width="11.85546875" style="2" bestFit="1" customWidth="1"/>
    <col min="11784" max="11784" width="11.5703125" style="2" bestFit="1" customWidth="1"/>
    <col min="11785" max="12029" width="11.42578125" style="2"/>
    <col min="12030" max="12030" width="12.28515625" style="2" bestFit="1" customWidth="1"/>
    <col min="12031" max="12031" width="11.140625" style="2" bestFit="1" customWidth="1"/>
    <col min="12032" max="12032" width="21" style="2" customWidth="1"/>
    <col min="12033" max="12033" width="16.85546875" style="2" bestFit="1" customWidth="1"/>
    <col min="12034" max="12034" width="13.5703125" style="2" customWidth="1"/>
    <col min="12035" max="12035" width="15" style="2" bestFit="1" customWidth="1"/>
    <col min="12036" max="12036" width="15.28515625" style="2" customWidth="1"/>
    <col min="12037" max="12037" width="29.28515625" style="2" customWidth="1"/>
    <col min="12038" max="12039" width="11.85546875" style="2" bestFit="1" customWidth="1"/>
    <col min="12040" max="12040" width="11.5703125" style="2" bestFit="1" customWidth="1"/>
    <col min="12041" max="12285" width="11.42578125" style="2"/>
    <col min="12286" max="12286" width="12.28515625" style="2" bestFit="1" customWidth="1"/>
    <col min="12287" max="12287" width="11.140625" style="2" bestFit="1" customWidth="1"/>
    <col min="12288" max="12288" width="21" style="2" customWidth="1"/>
    <col min="12289" max="12289" width="16.85546875" style="2" bestFit="1" customWidth="1"/>
    <col min="12290" max="12290" width="13.5703125" style="2" customWidth="1"/>
    <col min="12291" max="12291" width="15" style="2" bestFit="1" customWidth="1"/>
    <col min="12292" max="12292" width="15.28515625" style="2" customWidth="1"/>
    <col min="12293" max="12293" width="29.28515625" style="2" customWidth="1"/>
    <col min="12294" max="12295" width="11.85546875" style="2" bestFit="1" customWidth="1"/>
    <col min="12296" max="12296" width="11.5703125" style="2" bestFit="1" customWidth="1"/>
    <col min="12297" max="12541" width="11.42578125" style="2"/>
    <col min="12542" max="12542" width="12.28515625" style="2" bestFit="1" customWidth="1"/>
    <col min="12543" max="12543" width="11.140625" style="2" bestFit="1" customWidth="1"/>
    <col min="12544" max="12544" width="21" style="2" customWidth="1"/>
    <col min="12545" max="12545" width="16.85546875" style="2" bestFit="1" customWidth="1"/>
    <col min="12546" max="12546" width="13.5703125" style="2" customWidth="1"/>
    <col min="12547" max="12547" width="15" style="2" bestFit="1" customWidth="1"/>
    <col min="12548" max="12548" width="15.28515625" style="2" customWidth="1"/>
    <col min="12549" max="12549" width="29.28515625" style="2" customWidth="1"/>
    <col min="12550" max="12551" width="11.85546875" style="2" bestFit="1" customWidth="1"/>
    <col min="12552" max="12552" width="11.5703125" style="2" bestFit="1" customWidth="1"/>
    <col min="12553" max="12797" width="11.42578125" style="2"/>
    <col min="12798" max="12798" width="12.28515625" style="2" bestFit="1" customWidth="1"/>
    <col min="12799" max="12799" width="11.140625" style="2" bestFit="1" customWidth="1"/>
    <col min="12800" max="12800" width="21" style="2" customWidth="1"/>
    <col min="12801" max="12801" width="16.85546875" style="2" bestFit="1" customWidth="1"/>
    <col min="12802" max="12802" width="13.5703125" style="2" customWidth="1"/>
    <col min="12803" max="12803" width="15" style="2" bestFit="1" customWidth="1"/>
    <col min="12804" max="12804" width="15.28515625" style="2" customWidth="1"/>
    <col min="12805" max="12805" width="29.28515625" style="2" customWidth="1"/>
    <col min="12806" max="12807" width="11.85546875" style="2" bestFit="1" customWidth="1"/>
    <col min="12808" max="12808" width="11.5703125" style="2" bestFit="1" customWidth="1"/>
    <col min="12809" max="13053" width="11.42578125" style="2"/>
    <col min="13054" max="13054" width="12.28515625" style="2" bestFit="1" customWidth="1"/>
    <col min="13055" max="13055" width="11.140625" style="2" bestFit="1" customWidth="1"/>
    <col min="13056" max="13056" width="21" style="2" customWidth="1"/>
    <col min="13057" max="13057" width="16.85546875" style="2" bestFit="1" customWidth="1"/>
    <col min="13058" max="13058" width="13.5703125" style="2" customWidth="1"/>
    <col min="13059" max="13059" width="15" style="2" bestFit="1" customWidth="1"/>
    <col min="13060" max="13060" width="15.28515625" style="2" customWidth="1"/>
    <col min="13061" max="13061" width="29.28515625" style="2" customWidth="1"/>
    <col min="13062" max="13063" width="11.85546875" style="2" bestFit="1" customWidth="1"/>
    <col min="13064" max="13064" width="11.5703125" style="2" bestFit="1" customWidth="1"/>
    <col min="13065" max="13309" width="11.42578125" style="2"/>
    <col min="13310" max="13310" width="12.28515625" style="2" bestFit="1" customWidth="1"/>
    <col min="13311" max="13311" width="11.140625" style="2" bestFit="1" customWidth="1"/>
    <col min="13312" max="13312" width="21" style="2" customWidth="1"/>
    <col min="13313" max="13313" width="16.85546875" style="2" bestFit="1" customWidth="1"/>
    <col min="13314" max="13314" width="13.5703125" style="2" customWidth="1"/>
    <col min="13315" max="13315" width="15" style="2" bestFit="1" customWidth="1"/>
    <col min="13316" max="13316" width="15.28515625" style="2" customWidth="1"/>
    <col min="13317" max="13317" width="29.28515625" style="2" customWidth="1"/>
    <col min="13318" max="13319" width="11.85546875" style="2" bestFit="1" customWidth="1"/>
    <col min="13320" max="13320" width="11.5703125" style="2" bestFit="1" customWidth="1"/>
    <col min="13321" max="13565" width="11.42578125" style="2"/>
    <col min="13566" max="13566" width="12.28515625" style="2" bestFit="1" customWidth="1"/>
    <col min="13567" max="13567" width="11.140625" style="2" bestFit="1" customWidth="1"/>
    <col min="13568" max="13568" width="21" style="2" customWidth="1"/>
    <col min="13569" max="13569" width="16.85546875" style="2" bestFit="1" customWidth="1"/>
    <col min="13570" max="13570" width="13.5703125" style="2" customWidth="1"/>
    <col min="13571" max="13571" width="15" style="2" bestFit="1" customWidth="1"/>
    <col min="13572" max="13572" width="15.28515625" style="2" customWidth="1"/>
    <col min="13573" max="13573" width="29.28515625" style="2" customWidth="1"/>
    <col min="13574" max="13575" width="11.85546875" style="2" bestFit="1" customWidth="1"/>
    <col min="13576" max="13576" width="11.5703125" style="2" bestFit="1" customWidth="1"/>
    <col min="13577" max="13821" width="11.42578125" style="2"/>
    <col min="13822" max="13822" width="12.28515625" style="2" bestFit="1" customWidth="1"/>
    <col min="13823" max="13823" width="11.140625" style="2" bestFit="1" customWidth="1"/>
    <col min="13824" max="13824" width="21" style="2" customWidth="1"/>
    <col min="13825" max="13825" width="16.85546875" style="2" bestFit="1" customWidth="1"/>
    <col min="13826" max="13826" width="13.5703125" style="2" customWidth="1"/>
    <col min="13827" max="13827" width="15" style="2" bestFit="1" customWidth="1"/>
    <col min="13828" max="13828" width="15.28515625" style="2" customWidth="1"/>
    <col min="13829" max="13829" width="29.28515625" style="2" customWidth="1"/>
    <col min="13830" max="13831" width="11.85546875" style="2" bestFit="1" customWidth="1"/>
    <col min="13832" max="13832" width="11.5703125" style="2" bestFit="1" customWidth="1"/>
    <col min="13833" max="14077" width="11.42578125" style="2"/>
    <col min="14078" max="14078" width="12.28515625" style="2" bestFit="1" customWidth="1"/>
    <col min="14079" max="14079" width="11.140625" style="2" bestFit="1" customWidth="1"/>
    <col min="14080" max="14080" width="21" style="2" customWidth="1"/>
    <col min="14081" max="14081" width="16.85546875" style="2" bestFit="1" customWidth="1"/>
    <col min="14082" max="14082" width="13.5703125" style="2" customWidth="1"/>
    <col min="14083" max="14083" width="15" style="2" bestFit="1" customWidth="1"/>
    <col min="14084" max="14084" width="15.28515625" style="2" customWidth="1"/>
    <col min="14085" max="14085" width="29.28515625" style="2" customWidth="1"/>
    <col min="14086" max="14087" width="11.85546875" style="2" bestFit="1" customWidth="1"/>
    <col min="14088" max="14088" width="11.5703125" style="2" bestFit="1" customWidth="1"/>
    <col min="14089" max="14333" width="11.42578125" style="2"/>
    <col min="14334" max="14334" width="12.28515625" style="2" bestFit="1" customWidth="1"/>
    <col min="14335" max="14335" width="11.140625" style="2" bestFit="1" customWidth="1"/>
    <col min="14336" max="14336" width="21" style="2" customWidth="1"/>
    <col min="14337" max="14337" width="16.85546875" style="2" bestFit="1" customWidth="1"/>
    <col min="14338" max="14338" width="13.5703125" style="2" customWidth="1"/>
    <col min="14339" max="14339" width="15" style="2" bestFit="1" customWidth="1"/>
    <col min="14340" max="14340" width="15.28515625" style="2" customWidth="1"/>
    <col min="14341" max="14341" width="29.28515625" style="2" customWidth="1"/>
    <col min="14342" max="14343" width="11.85546875" style="2" bestFit="1" customWidth="1"/>
    <col min="14344" max="14344" width="11.5703125" style="2" bestFit="1" customWidth="1"/>
    <col min="14345" max="14589" width="11.42578125" style="2"/>
    <col min="14590" max="14590" width="12.28515625" style="2" bestFit="1" customWidth="1"/>
    <col min="14591" max="14591" width="11.140625" style="2" bestFit="1" customWidth="1"/>
    <col min="14592" max="14592" width="21" style="2" customWidth="1"/>
    <col min="14593" max="14593" width="16.85546875" style="2" bestFit="1" customWidth="1"/>
    <col min="14594" max="14594" width="13.5703125" style="2" customWidth="1"/>
    <col min="14595" max="14595" width="15" style="2" bestFit="1" customWidth="1"/>
    <col min="14596" max="14596" width="15.28515625" style="2" customWidth="1"/>
    <col min="14597" max="14597" width="29.28515625" style="2" customWidth="1"/>
    <col min="14598" max="14599" width="11.85546875" style="2" bestFit="1" customWidth="1"/>
    <col min="14600" max="14600" width="11.5703125" style="2" bestFit="1" customWidth="1"/>
    <col min="14601" max="14845" width="11.42578125" style="2"/>
    <col min="14846" max="14846" width="12.28515625" style="2" bestFit="1" customWidth="1"/>
    <col min="14847" max="14847" width="11.140625" style="2" bestFit="1" customWidth="1"/>
    <col min="14848" max="14848" width="21" style="2" customWidth="1"/>
    <col min="14849" max="14849" width="16.85546875" style="2" bestFit="1" customWidth="1"/>
    <col min="14850" max="14850" width="13.5703125" style="2" customWidth="1"/>
    <col min="14851" max="14851" width="15" style="2" bestFit="1" customWidth="1"/>
    <col min="14852" max="14852" width="15.28515625" style="2" customWidth="1"/>
    <col min="14853" max="14853" width="29.28515625" style="2" customWidth="1"/>
    <col min="14854" max="14855" width="11.85546875" style="2" bestFit="1" customWidth="1"/>
    <col min="14856" max="14856" width="11.5703125" style="2" bestFit="1" customWidth="1"/>
    <col min="14857" max="15101" width="11.42578125" style="2"/>
    <col min="15102" max="15102" width="12.28515625" style="2" bestFit="1" customWidth="1"/>
    <col min="15103" max="15103" width="11.140625" style="2" bestFit="1" customWidth="1"/>
    <col min="15104" max="15104" width="21" style="2" customWidth="1"/>
    <col min="15105" max="15105" width="16.85546875" style="2" bestFit="1" customWidth="1"/>
    <col min="15106" max="15106" width="13.5703125" style="2" customWidth="1"/>
    <col min="15107" max="15107" width="15" style="2" bestFit="1" customWidth="1"/>
    <col min="15108" max="15108" width="15.28515625" style="2" customWidth="1"/>
    <col min="15109" max="15109" width="29.28515625" style="2" customWidth="1"/>
    <col min="15110" max="15111" width="11.85546875" style="2" bestFit="1" customWidth="1"/>
    <col min="15112" max="15112" width="11.5703125" style="2" bestFit="1" customWidth="1"/>
    <col min="15113" max="15357" width="11.42578125" style="2"/>
    <col min="15358" max="15358" width="12.28515625" style="2" bestFit="1" customWidth="1"/>
    <col min="15359" max="15359" width="11.140625" style="2" bestFit="1" customWidth="1"/>
    <col min="15360" max="15360" width="21" style="2" customWidth="1"/>
    <col min="15361" max="15361" width="16.85546875" style="2" bestFit="1" customWidth="1"/>
    <col min="15362" max="15362" width="13.5703125" style="2" customWidth="1"/>
    <col min="15363" max="15363" width="15" style="2" bestFit="1" customWidth="1"/>
    <col min="15364" max="15364" width="15.28515625" style="2" customWidth="1"/>
    <col min="15365" max="15365" width="29.28515625" style="2" customWidth="1"/>
    <col min="15366" max="15367" width="11.85546875" style="2" bestFit="1" customWidth="1"/>
    <col min="15368" max="15368" width="11.5703125" style="2" bestFit="1" customWidth="1"/>
    <col min="15369" max="15613" width="11.42578125" style="2"/>
    <col min="15614" max="15614" width="12.28515625" style="2" bestFit="1" customWidth="1"/>
    <col min="15615" max="15615" width="11.140625" style="2" bestFit="1" customWidth="1"/>
    <col min="15616" max="15616" width="21" style="2" customWidth="1"/>
    <col min="15617" max="15617" width="16.85546875" style="2" bestFit="1" customWidth="1"/>
    <col min="15618" max="15618" width="13.5703125" style="2" customWidth="1"/>
    <col min="15619" max="15619" width="15" style="2" bestFit="1" customWidth="1"/>
    <col min="15620" max="15620" width="15.28515625" style="2" customWidth="1"/>
    <col min="15621" max="15621" width="29.28515625" style="2" customWidth="1"/>
    <col min="15622" max="15623" width="11.85546875" style="2" bestFit="1" customWidth="1"/>
    <col min="15624" max="15624" width="11.5703125" style="2" bestFit="1" customWidth="1"/>
    <col min="15625" max="15869" width="11.42578125" style="2"/>
    <col min="15870" max="15870" width="12.28515625" style="2" bestFit="1" customWidth="1"/>
    <col min="15871" max="15871" width="11.140625" style="2" bestFit="1" customWidth="1"/>
    <col min="15872" max="15872" width="21" style="2" customWidth="1"/>
    <col min="15873" max="15873" width="16.85546875" style="2" bestFit="1" customWidth="1"/>
    <col min="15874" max="15874" width="13.5703125" style="2" customWidth="1"/>
    <col min="15875" max="15875" width="15" style="2" bestFit="1" customWidth="1"/>
    <col min="15876" max="15876" width="15.28515625" style="2" customWidth="1"/>
    <col min="15877" max="15877" width="29.28515625" style="2" customWidth="1"/>
    <col min="15878" max="15879" width="11.85546875" style="2" bestFit="1" customWidth="1"/>
    <col min="15880" max="15880" width="11.5703125" style="2" bestFit="1" customWidth="1"/>
    <col min="15881" max="16125" width="11.42578125" style="2"/>
    <col min="16126" max="16126" width="12.28515625" style="2" bestFit="1" customWidth="1"/>
    <col min="16127" max="16127" width="11.140625" style="2" bestFit="1" customWidth="1"/>
    <col min="16128" max="16128" width="21" style="2" customWidth="1"/>
    <col min="16129" max="16129" width="16.85546875" style="2" bestFit="1" customWidth="1"/>
    <col min="16130" max="16130" width="13.5703125" style="2" customWidth="1"/>
    <col min="16131" max="16131" width="15" style="2" bestFit="1" customWidth="1"/>
    <col min="16132" max="16132" width="15.28515625" style="2" customWidth="1"/>
    <col min="16133" max="16133" width="29.28515625" style="2" customWidth="1"/>
    <col min="16134" max="16135" width="11.85546875" style="2" bestFit="1" customWidth="1"/>
    <col min="16136" max="16136" width="11.5703125" style="2" bestFit="1" customWidth="1"/>
    <col min="16137" max="16384" width="11.42578125" style="2"/>
  </cols>
  <sheetData>
    <row r="1" spans="1:12" x14ac:dyDescent="0.2">
      <c r="A1" s="5"/>
    </row>
    <row r="2" spans="1:12" x14ac:dyDescent="0.2">
      <c r="A2" s="92" t="s">
        <v>60</v>
      </c>
      <c r="B2" s="92"/>
      <c r="C2" s="92"/>
      <c r="D2" s="92"/>
      <c r="E2" s="92"/>
      <c r="F2" s="92"/>
      <c r="G2" s="92"/>
      <c r="H2" s="92"/>
      <c r="I2" s="92"/>
      <c r="J2" s="35"/>
      <c r="K2" s="35"/>
      <c r="L2" s="35"/>
    </row>
    <row r="3" spans="1:12" ht="13.5" thickBot="1" x14ac:dyDescent="0.25">
      <c r="E3" s="50"/>
      <c r="F3" s="50"/>
      <c r="G3" s="50"/>
      <c r="J3" s="51"/>
    </row>
    <row r="4" spans="1:12" ht="13.5" thickBot="1" x14ac:dyDescent="0.25">
      <c r="A4" s="6" t="s">
        <v>21</v>
      </c>
      <c r="B4" s="7" t="s">
        <v>22</v>
      </c>
      <c r="C4" s="7" t="s">
        <v>23</v>
      </c>
      <c r="D4" s="8" t="s">
        <v>28</v>
      </c>
      <c r="E4" s="7" t="s">
        <v>29</v>
      </c>
      <c r="F4" s="9" t="s">
        <v>3</v>
      </c>
      <c r="G4" s="10" t="s">
        <v>24</v>
      </c>
      <c r="H4" s="11" t="s">
        <v>25</v>
      </c>
      <c r="J4" s="2"/>
      <c r="L4" s="2"/>
    </row>
    <row r="5" spans="1:12" x14ac:dyDescent="0.2">
      <c r="A5" s="12">
        <v>46043</v>
      </c>
      <c r="B5" s="13" t="s">
        <v>58</v>
      </c>
      <c r="C5" s="16" t="s">
        <v>49</v>
      </c>
      <c r="D5" s="14">
        <v>24800</v>
      </c>
      <c r="E5" s="36">
        <v>24800</v>
      </c>
      <c r="F5" s="36">
        <v>0</v>
      </c>
      <c r="G5" s="15"/>
      <c r="H5" s="12"/>
      <c r="J5" s="2"/>
      <c r="L5" s="2"/>
    </row>
    <row r="6" spans="1:12" x14ac:dyDescent="0.2">
      <c r="A6" s="12">
        <v>46043</v>
      </c>
      <c r="B6" s="13" t="s">
        <v>66</v>
      </c>
      <c r="C6" s="16" t="s">
        <v>67</v>
      </c>
      <c r="D6" s="14">
        <v>40020</v>
      </c>
      <c r="E6" s="36">
        <f t="shared" ref="E6" si="0">D6/1.2</f>
        <v>33350</v>
      </c>
      <c r="F6" s="36">
        <f t="shared" ref="F6" si="1">E6*0.2</f>
        <v>6670</v>
      </c>
      <c r="G6" s="15"/>
      <c r="H6" s="12"/>
      <c r="J6" s="2"/>
      <c r="L6" s="2"/>
    </row>
    <row r="7" spans="1:12" x14ac:dyDescent="0.2">
      <c r="A7" s="12"/>
      <c r="B7" s="13"/>
      <c r="C7" s="16"/>
      <c r="D7" s="14"/>
      <c r="E7" s="36">
        <f t="shared" ref="E7" si="2">+D7/1.2</f>
        <v>0</v>
      </c>
      <c r="F7" s="36">
        <f t="shared" ref="F7" si="3">+E7*0.2</f>
        <v>0</v>
      </c>
      <c r="G7" s="15"/>
      <c r="H7" s="12"/>
      <c r="J7" s="2"/>
      <c r="L7" s="2"/>
    </row>
    <row r="8" spans="1:12" x14ac:dyDescent="0.2">
      <c r="A8" s="12"/>
      <c r="B8" s="13"/>
      <c r="C8" s="16"/>
      <c r="D8" s="14"/>
      <c r="E8" s="36">
        <f t="shared" ref="E8:E9" si="4">+D8/1.2</f>
        <v>0</v>
      </c>
      <c r="F8" s="36">
        <f t="shared" ref="F8:F9" si="5">+E8*0.2</f>
        <v>0</v>
      </c>
      <c r="G8" s="15"/>
      <c r="H8" s="12"/>
      <c r="J8" s="2"/>
      <c r="L8" s="2"/>
    </row>
    <row r="9" spans="1:12" x14ac:dyDescent="0.2">
      <c r="A9" s="12"/>
      <c r="B9" s="13"/>
      <c r="C9" s="16"/>
      <c r="D9" s="14"/>
      <c r="E9" s="36">
        <f t="shared" si="4"/>
        <v>0</v>
      </c>
      <c r="F9" s="36">
        <f t="shared" si="5"/>
        <v>0</v>
      </c>
      <c r="G9" s="15"/>
      <c r="H9" s="12"/>
      <c r="J9" s="2"/>
      <c r="L9" s="2"/>
    </row>
    <row r="10" spans="1:12" ht="13.5" thickBot="1" x14ac:dyDescent="0.25">
      <c r="A10" s="86" t="s">
        <v>26</v>
      </c>
      <c r="B10" s="87"/>
      <c r="C10" s="88"/>
      <c r="D10" s="17">
        <f>SUM(D5:D9)</f>
        <v>64820</v>
      </c>
      <c r="E10" s="37">
        <f>SUM(E5:E9)</f>
        <v>58150</v>
      </c>
      <c r="F10" s="21">
        <f>SUM(F5:F9)</f>
        <v>6670</v>
      </c>
      <c r="G10" s="21"/>
      <c r="H10" s="21"/>
      <c r="J10" s="2"/>
      <c r="L10" s="2"/>
    </row>
    <row r="12" spans="1:12" x14ac:dyDescent="0.2">
      <c r="B12" s="63" t="s">
        <v>50</v>
      </c>
    </row>
    <row r="13" spans="1:12" x14ac:dyDescent="0.2">
      <c r="B13" s="40" t="s">
        <v>42</v>
      </c>
      <c r="C13" s="40" t="s">
        <v>43</v>
      </c>
      <c r="D13" s="40" t="s">
        <v>44</v>
      </c>
      <c r="E13" s="41" t="s">
        <v>45</v>
      </c>
    </row>
    <row r="14" spans="1:12" x14ac:dyDescent="0.2">
      <c r="B14" s="47">
        <v>45940</v>
      </c>
      <c r="C14" s="48">
        <v>40000</v>
      </c>
      <c r="D14" s="16" t="s">
        <v>65</v>
      </c>
      <c r="E14" s="49"/>
    </row>
    <row r="15" spans="1:12" x14ac:dyDescent="0.2">
      <c r="B15" s="47"/>
      <c r="C15" s="48"/>
      <c r="D15" s="16"/>
      <c r="E15" s="49"/>
    </row>
    <row r="16" spans="1:12" x14ac:dyDescent="0.2">
      <c r="B16" s="47"/>
      <c r="C16" s="42"/>
      <c r="D16" s="16"/>
      <c r="E16" s="43"/>
    </row>
    <row r="17" spans="2:5" x14ac:dyDescent="0.2">
      <c r="B17" s="47"/>
      <c r="C17" s="42"/>
      <c r="D17" s="16"/>
      <c r="E17" s="43"/>
    </row>
    <row r="18" spans="2:5" x14ac:dyDescent="0.2">
      <c r="B18" s="16"/>
      <c r="C18" s="42"/>
      <c r="D18" s="16"/>
      <c r="E18" s="43"/>
    </row>
    <row r="19" spans="2:5" x14ac:dyDescent="0.2">
      <c r="B19" s="16"/>
      <c r="C19" s="42"/>
      <c r="D19" s="16"/>
      <c r="E19" s="43"/>
    </row>
    <row r="20" spans="2:5" x14ac:dyDescent="0.2">
      <c r="B20" s="16"/>
      <c r="C20" s="16"/>
      <c r="D20" s="16"/>
      <c r="E20" s="43"/>
    </row>
    <row r="21" spans="2:5" x14ac:dyDescent="0.2">
      <c r="B21" s="16" t="s">
        <v>46</v>
      </c>
      <c r="C21" s="44">
        <f>SUM(C14:C20)</f>
        <v>40000</v>
      </c>
      <c r="D21" s="16"/>
      <c r="E21" s="43"/>
    </row>
    <row r="23" spans="2:5" x14ac:dyDescent="0.2">
      <c r="B23" s="63" t="s">
        <v>51</v>
      </c>
    </row>
    <row r="24" spans="2:5" x14ac:dyDescent="0.2">
      <c r="B24" s="40" t="s">
        <v>42</v>
      </c>
      <c r="C24" s="40" t="s">
        <v>43</v>
      </c>
      <c r="D24" s="40" t="s">
        <v>44</v>
      </c>
      <c r="E24" s="41" t="s">
        <v>45</v>
      </c>
    </row>
    <row r="25" spans="2:5" x14ac:dyDescent="0.2">
      <c r="B25" s="47">
        <v>45944</v>
      </c>
      <c r="C25" s="48">
        <v>4000</v>
      </c>
      <c r="D25" s="16" t="s">
        <v>59</v>
      </c>
      <c r="E25" s="49"/>
    </row>
    <row r="26" spans="2:5" x14ac:dyDescent="0.2">
      <c r="B26" s="47">
        <v>45947</v>
      </c>
      <c r="C26" s="48">
        <v>4000</v>
      </c>
      <c r="D26" s="16" t="s">
        <v>59</v>
      </c>
      <c r="E26" s="49"/>
    </row>
    <row r="27" spans="2:5" x14ac:dyDescent="0.2">
      <c r="B27" s="47">
        <v>45957</v>
      </c>
      <c r="C27" s="42">
        <v>4000</v>
      </c>
      <c r="D27" s="16" t="s">
        <v>59</v>
      </c>
      <c r="E27" s="43"/>
    </row>
    <row r="28" spans="2:5" x14ac:dyDescent="0.2">
      <c r="B28" s="47">
        <v>45959</v>
      </c>
      <c r="C28" s="42">
        <v>12800</v>
      </c>
      <c r="D28" s="16" t="s">
        <v>59</v>
      </c>
      <c r="E28" s="43"/>
    </row>
    <row r="29" spans="2:5" x14ac:dyDescent="0.2">
      <c r="B29" s="16"/>
      <c r="C29" s="42"/>
      <c r="D29" s="16"/>
      <c r="E29" s="43"/>
    </row>
    <row r="30" spans="2:5" x14ac:dyDescent="0.2">
      <c r="B30" s="16"/>
      <c r="C30" s="42"/>
      <c r="D30" s="16"/>
      <c r="E30" s="43"/>
    </row>
    <row r="31" spans="2:5" x14ac:dyDescent="0.2">
      <c r="B31" s="16"/>
      <c r="C31" s="16"/>
      <c r="D31" s="16"/>
      <c r="E31" s="43"/>
    </row>
    <row r="32" spans="2:5" x14ac:dyDescent="0.2">
      <c r="B32" s="16" t="s">
        <v>46</v>
      </c>
      <c r="C32" s="44">
        <f>SUM(C25:C31)</f>
        <v>24800</v>
      </c>
      <c r="D32" s="16"/>
      <c r="E32" s="43"/>
    </row>
    <row r="35" spans="2:12" ht="34.5" customHeight="1" x14ac:dyDescent="0.2">
      <c r="B35" s="89" t="s">
        <v>51</v>
      </c>
      <c r="C35" s="90"/>
      <c r="D35" s="91"/>
      <c r="E35" s="93">
        <f>C32</f>
        <v>24800</v>
      </c>
      <c r="F35" s="94"/>
      <c r="G35" s="95"/>
    </row>
    <row r="36" spans="2:12" ht="31.5" customHeight="1" x14ac:dyDescent="0.2">
      <c r="B36" s="89" t="s">
        <v>30</v>
      </c>
      <c r="C36" s="90"/>
      <c r="D36" s="91"/>
      <c r="E36" s="93">
        <f>C21</f>
        <v>40000</v>
      </c>
      <c r="F36" s="94"/>
      <c r="G36" s="95"/>
      <c r="H36" s="18"/>
      <c r="I36" s="3"/>
      <c r="J36" s="2"/>
      <c r="K36" s="4"/>
      <c r="L36" s="2"/>
    </row>
    <row r="37" spans="2:12" ht="32.25" customHeight="1" x14ac:dyDescent="0.2">
      <c r="B37" s="89" t="s">
        <v>31</v>
      </c>
      <c r="C37" s="90"/>
      <c r="D37" s="91"/>
      <c r="E37" s="93">
        <f>+E36/1.2</f>
        <v>33333.333333333336</v>
      </c>
      <c r="F37" s="94"/>
      <c r="G37" s="95"/>
      <c r="H37" s="18"/>
      <c r="I37" s="3"/>
      <c r="J37" s="19"/>
      <c r="K37" s="4"/>
      <c r="L37" s="2"/>
    </row>
    <row r="38" spans="2:12" ht="30.75" customHeight="1" x14ac:dyDescent="0.2">
      <c r="B38" s="105" t="s">
        <v>32</v>
      </c>
      <c r="C38" s="106"/>
      <c r="D38" s="107"/>
      <c r="E38" s="96">
        <f>+E37*0.2</f>
        <v>6666.6666666666679</v>
      </c>
      <c r="F38" s="97"/>
      <c r="G38" s="98"/>
      <c r="H38" s="18"/>
      <c r="I38" s="20"/>
      <c r="J38" s="20"/>
      <c r="K38" s="4"/>
      <c r="L38" s="2"/>
    </row>
    <row r="39" spans="2:12" ht="33" customHeight="1" x14ac:dyDescent="0.2">
      <c r="B39" s="89" t="s">
        <v>33</v>
      </c>
      <c r="C39" s="90"/>
      <c r="D39" s="91"/>
      <c r="E39" s="99">
        <f>+EDI!E17</f>
        <v>10792.572727272729</v>
      </c>
      <c r="F39" s="100"/>
      <c r="G39" s="101"/>
      <c r="H39" s="18"/>
      <c r="I39" s="20"/>
      <c r="J39" s="20"/>
      <c r="K39" s="4"/>
      <c r="L39" s="2"/>
    </row>
    <row r="40" spans="2:12" ht="29.25" customHeight="1" x14ac:dyDescent="0.2">
      <c r="B40" s="108" t="s">
        <v>34</v>
      </c>
      <c r="C40" s="109"/>
      <c r="D40" s="110"/>
      <c r="E40" s="102">
        <v>8882.69</v>
      </c>
      <c r="F40" s="103"/>
      <c r="G40" s="104"/>
      <c r="H40" s="18"/>
      <c r="I40" s="3"/>
      <c r="J40" s="2"/>
      <c r="K40" s="4"/>
      <c r="L40" s="2"/>
    </row>
    <row r="41" spans="2:12" ht="29.25" customHeight="1" x14ac:dyDescent="0.2">
      <c r="B41" s="105" t="s">
        <v>61</v>
      </c>
      <c r="C41" s="106"/>
      <c r="D41" s="107"/>
      <c r="E41" s="96">
        <f>+E38-E39-E40</f>
        <v>-13008.596060606062</v>
      </c>
      <c r="F41" s="97"/>
      <c r="G41" s="98"/>
      <c r="H41" s="18"/>
      <c r="I41" s="3"/>
      <c r="J41" s="2"/>
      <c r="L41" s="2"/>
    </row>
  </sheetData>
  <dataConsolidate/>
  <mergeCells count="16">
    <mergeCell ref="E38:G38"/>
    <mergeCell ref="E39:G39"/>
    <mergeCell ref="E41:G41"/>
    <mergeCell ref="E40:G40"/>
    <mergeCell ref="B41:D41"/>
    <mergeCell ref="B40:D40"/>
    <mergeCell ref="B38:D38"/>
    <mergeCell ref="B39:D39"/>
    <mergeCell ref="A10:C10"/>
    <mergeCell ref="B36:D36"/>
    <mergeCell ref="B37:D37"/>
    <mergeCell ref="A2:I2"/>
    <mergeCell ref="E36:G36"/>
    <mergeCell ref="E37:G37"/>
    <mergeCell ref="B35:D35"/>
    <mergeCell ref="E35:G35"/>
  </mergeCells>
  <pageMargins left="0.15748031496062992" right="0.19685039370078741" top="0.15748031496062992" bottom="0.15748031496062992" header="0.15748031496062992" footer="0.15748031496062992"/>
  <pageSetup paperSize="9" scale="9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C7:D13"/>
  <sheetViews>
    <sheetView workbookViewId="0">
      <selection activeCell="D16" sqref="D16"/>
    </sheetView>
  </sheetViews>
  <sheetFormatPr baseColWidth="10" defaultRowHeight="15" x14ac:dyDescent="0.25"/>
  <sheetData>
    <row r="7" spans="3:4" x14ac:dyDescent="0.25">
      <c r="C7">
        <v>1</v>
      </c>
      <c r="D7" t="s">
        <v>35</v>
      </c>
    </row>
    <row r="8" spans="3:4" x14ac:dyDescent="0.25">
      <c r="C8">
        <v>2</v>
      </c>
      <c r="D8" t="s">
        <v>36</v>
      </c>
    </row>
    <row r="9" spans="3:4" x14ac:dyDescent="0.25">
      <c r="C9">
        <v>3</v>
      </c>
      <c r="D9" t="s">
        <v>37</v>
      </c>
    </row>
    <row r="10" spans="3:4" x14ac:dyDescent="0.25">
      <c r="C10">
        <v>4</v>
      </c>
      <c r="D10" t="s">
        <v>38</v>
      </c>
    </row>
    <row r="11" spans="3:4" x14ac:dyDescent="0.25">
      <c r="C11">
        <v>5</v>
      </c>
      <c r="D11" t="s">
        <v>39</v>
      </c>
    </row>
    <row r="12" spans="3:4" x14ac:dyDescent="0.25">
      <c r="C12">
        <v>6</v>
      </c>
      <c r="D12" t="s">
        <v>40</v>
      </c>
    </row>
    <row r="13" spans="3:4" x14ac:dyDescent="0.25">
      <c r="C13">
        <v>7</v>
      </c>
      <c r="D13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EDI</vt:lpstr>
      <vt:lpstr>CA</vt:lpstr>
      <vt:lpstr>Feuil1</vt:lpstr>
      <vt:lpstr>EDI!Zone_d_impression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2006-09-12T15:06:44Z</dcterms:created>
  <dcterms:modified xsi:type="dcterms:W3CDTF">2026-05-16T09:11:04Z</dcterms:modified>
</cp:coreProperties>
</file>